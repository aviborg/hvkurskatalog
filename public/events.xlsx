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Sheet1!$A$1:$J$126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<sst xmlns="http://schemas.openxmlformats.org/spreadsheetml/2006/main" count="650" uniqueCount="172">
  <si>
    <t xml:space="preserve">KURSKOD</t>
  </si>
  <si>
    <t xml:space="preserve">KURSBENÄMNING</t>
  </si>
  <si>
    <t xml:space="preserve">START</t>
  </si>
  <si>
    <t xml:space="preserve">SLUT</t>
  </si>
  <si>
    <t xml:space="preserve">SISTA ANSÖKNINGSDAG</t>
  </si>
  <si>
    <t xml:space="preserve">ANSVARIG</t>
  </si>
  <si>
    <t xml:space="preserve">ORT</t>
  </si>
  <si>
    <t xml:space="preserve">Kategori</t>
  </si>
  <si>
    <t xml:space="preserve">Platser</t>
  </si>
  <si>
    <t xml:space="preserve">Övrigt</t>
  </si>
  <si>
    <t xml:space="preserve">GKDNBI</t>
  </si>
  <si>
    <t xml:space="preserve">GK2 DNBI Krigssjukvård</t>
  </si>
  <si>
    <t xml:space="preserve">RHS</t>
  </si>
  <si>
    <t xml:space="preserve">Boden</t>
  </si>
  <si>
    <t xml:space="preserve">Funktionsutbildningar</t>
  </si>
  <si>
    <t xml:space="preserve">MAHGK119KB01</t>
  </si>
  <si>
    <t xml:space="preserve">Bataljonchefskurs 1</t>
  </si>
  <si>
    <t xml:space="preserve">HvSS</t>
  </si>
  <si>
    <t xml:space="preserve">Vällinge</t>
  </si>
  <si>
    <t xml:space="preserve">Chefsutbildningar</t>
  </si>
  <si>
    <t xml:space="preserve">MAHFK2011218</t>
  </si>
  <si>
    <t xml:space="preserve">Bataljonchefskurs 2</t>
  </si>
  <si>
    <t xml:space="preserve">MAHGK119KB00</t>
  </si>
  <si>
    <t xml:space="preserve">Bataljonstridskurs</t>
  </si>
  <si>
    <t xml:space="preserve">MAHFK2011181</t>
  </si>
  <si>
    <t xml:space="preserve">Gruppchefskurs 2</t>
  </si>
  <si>
    <t xml:space="preserve">MAHGK119KB11</t>
  </si>
  <si>
    <t xml:space="preserve">Kompanichefskurs 1</t>
  </si>
  <si>
    <t xml:space="preserve">MAHFK2011220</t>
  </si>
  <si>
    <t xml:space="preserve">Kompanichefskurs 2</t>
  </si>
  <si>
    <t xml:space="preserve">MAHGK119KB10</t>
  </si>
  <si>
    <t xml:space="preserve">Kompanistridskurs</t>
  </si>
  <si>
    <t xml:space="preserve">MAHFK2011223</t>
  </si>
  <si>
    <t xml:space="preserve">Plutonchefskurs 2</t>
  </si>
  <si>
    <t xml:space="preserve">MAHGK119IN00</t>
  </si>
  <si>
    <t xml:space="preserve">Instruktörskurs Stabstjänst</t>
  </si>
  <si>
    <t xml:space="preserve">Instruktörsutbildningar</t>
  </si>
  <si>
    <t xml:space="preserve">MAHGK2019222</t>
  </si>
  <si>
    <t xml:space="preserve">Kvartermästarkurs 1</t>
  </si>
  <si>
    <t xml:space="preserve">MAHFÖ2019812</t>
  </si>
  <si>
    <t xml:space="preserve">Nordisk Chefskurs</t>
  </si>
  <si>
    <t xml:space="preserve">Danmark</t>
  </si>
  <si>
    <t xml:space="preserve">MAHGK119FU03</t>
  </si>
  <si>
    <t xml:space="preserve">Stabchefskurs</t>
  </si>
  <si>
    <t xml:space="preserve">HVT424L0000</t>
  </si>
  <si>
    <t xml:space="preserve">Stridsledning Sensor Hv</t>
  </si>
  <si>
    <t xml:space="preserve">ÄMLGK705LE11</t>
  </si>
  <si>
    <t xml:space="preserve">Indirekt Ledarskap (IL)</t>
  </si>
  <si>
    <t xml:space="preserve">Ledarskapsutbildningar</t>
  </si>
  <si>
    <t xml:space="preserve">ÄMLGK705LE12</t>
  </si>
  <si>
    <t xml:space="preserve">Ledarskap och Självkännedom (LoS)</t>
  </si>
  <si>
    <t xml:space="preserve">ÄMLGK705LE13</t>
  </si>
  <si>
    <t xml:space="preserve">Utveckling Grupp Ledare (UGL)</t>
  </si>
  <si>
    <t xml:space="preserve">ÄMLGK816LE10</t>
  </si>
  <si>
    <t xml:space="preserve">Utvecklande Ledarskap (UL)</t>
  </si>
  <si>
    <t xml:space="preserve">MAHGK2011230</t>
  </si>
  <si>
    <t xml:space="preserve">Gruppchefskurs 1</t>
  </si>
  <si>
    <t xml:space="preserve">KRAG</t>
  </si>
  <si>
    <t xml:space="preserve">Kosta</t>
  </si>
  <si>
    <t xml:space="preserve">SSK</t>
  </si>
  <si>
    <t xml:space="preserve">Rinkaby</t>
  </si>
  <si>
    <t xml:space="preserve">MAHGK2011222</t>
  </si>
  <si>
    <t xml:space="preserve">Plutonchefskurs 1</t>
  </si>
  <si>
    <t xml:space="preserve">Revingehed</t>
  </si>
  <si>
    <t xml:space="preserve">2026-11-03, 2027-02-05</t>
  </si>
  <si>
    <t xml:space="preserve">2026-11-08, 2027-02-27</t>
  </si>
  <si>
    <t xml:space="preserve">BLG</t>
  </si>
  <si>
    <t xml:space="preserve">Karlskrona</t>
  </si>
  <si>
    <t xml:space="preserve">MAHGK119FU02</t>
  </si>
  <si>
    <t xml:space="preserve">Grundkurs stabstjänst</t>
  </si>
  <si>
    <t xml:space="preserve">2026-01-30, 2026-02-13</t>
  </si>
  <si>
    <t xml:space="preserve">2026-02-01, 2026-02-15</t>
  </si>
  <si>
    <t xml:space="preserve">F17</t>
  </si>
  <si>
    <t xml:space="preserve">LVG</t>
  </si>
  <si>
    <t xml:space="preserve">Kvarn</t>
  </si>
  <si>
    <t xml:space="preserve">2026-11-08, 2027-02-07</t>
  </si>
  <si>
    <t xml:space="preserve">MAHFK2011231</t>
  </si>
  <si>
    <t xml:space="preserve">Gruppchefskurs 3</t>
  </si>
  <si>
    <t xml:space="preserve">2026-04-24, 2026-05-08</t>
  </si>
  <si>
    <t xml:space="preserve">2026-04-26, 2026-05-10</t>
  </si>
  <si>
    <t xml:space="preserve">MAHGK119VA00</t>
  </si>
  <si>
    <t xml:space="preserve">Intro</t>
  </si>
  <si>
    <t xml:space="preserve">UNDGK311SF11</t>
  </si>
  <si>
    <t xml:space="preserve">IK-skyddsvakt</t>
  </si>
  <si>
    <t xml:space="preserve">UND424ISF45</t>
  </si>
  <si>
    <t xml:space="preserve">Skyddsvakt grundutbildning (Skvakt GU)</t>
  </si>
  <si>
    <t xml:space="preserve">MAHGK119VA04</t>
  </si>
  <si>
    <t xml:space="preserve">Basförmåga KSP 58</t>
  </si>
  <si>
    <t xml:space="preserve">MAHGK119VA01</t>
  </si>
  <si>
    <t xml:space="preserve">Basförmåga 8,4 cm GRG</t>
  </si>
  <si>
    <t xml:space="preserve">GK stabstjänst</t>
  </si>
  <si>
    <t xml:space="preserve">GK Stabstjänst</t>
  </si>
  <si>
    <t xml:space="preserve">HVT423F1000</t>
  </si>
  <si>
    <t xml:space="preserve">GK ÖLAK</t>
  </si>
  <si>
    <t xml:space="preserve">MAHGK9090001</t>
  </si>
  <si>
    <t xml:space="preserve">Instruktörskurs 1</t>
  </si>
  <si>
    <t xml:space="preserve">MAHGK119GP00</t>
  </si>
  <si>
    <t xml:space="preserve">Gruppchefskurs X</t>
  </si>
  <si>
    <t xml:space="preserve">MRM</t>
  </si>
  <si>
    <t xml:space="preserve">ESO</t>
  </si>
  <si>
    <t xml:space="preserve">MAHGK8100030</t>
  </si>
  <si>
    <t xml:space="preserve">Plutonchef 1-2</t>
  </si>
  <si>
    <t xml:space="preserve">SLG</t>
  </si>
  <si>
    <t xml:space="preserve">Strängnäs</t>
  </si>
  <si>
    <t xml:space="preserve">GC12</t>
  </si>
  <si>
    <t xml:space="preserve">Gruppchef 1-2</t>
  </si>
  <si>
    <t xml:space="preserve">MAHGK5111102</t>
  </si>
  <si>
    <t xml:space="preserve">PB8</t>
  </si>
  <si>
    <t xml:space="preserve">GBG</t>
  </si>
  <si>
    <t xml:space="preserve">Gävle</t>
  </si>
  <si>
    <t xml:space="preserve">UTPGK450KU02</t>
  </si>
  <si>
    <t xml:space="preserve">Kombattantutbildning</t>
  </si>
  <si>
    <t xml:space="preserve">Grundläggande militärutbildning</t>
  </si>
  <si>
    <t xml:space="preserve">IKGRG18</t>
  </si>
  <si>
    <t xml:space="preserve">IK GRG18</t>
  </si>
  <si>
    <t xml:space="preserve">MAHFÖ2111555</t>
  </si>
  <si>
    <t xml:space="preserve">IK KSP</t>
  </si>
  <si>
    <t xml:space="preserve">ÖVG</t>
  </si>
  <si>
    <t xml:space="preserve">Villingsberg</t>
  </si>
  <si>
    <t xml:space="preserve">Gruppchefskurs 12</t>
  </si>
  <si>
    <t xml:space="preserve">EBG</t>
  </si>
  <si>
    <t xml:space="preserve">Göteborg</t>
  </si>
  <si>
    <t xml:space="preserve">MRV</t>
  </si>
  <si>
    <t xml:space="preserve">Skövde</t>
  </si>
  <si>
    <t xml:space="preserve">SKG</t>
  </si>
  <si>
    <t xml:space="preserve">HAG</t>
  </si>
  <si>
    <t xml:space="preserve">Halmstad</t>
  </si>
  <si>
    <t xml:space="preserve">BDG</t>
  </si>
  <si>
    <t xml:space="preserve">Skredsvik</t>
  </si>
  <si>
    <t xml:space="preserve">GKMOTORSÅG</t>
  </si>
  <si>
    <t xml:space="preserve">Motorsåg nivå 1 och 2</t>
  </si>
  <si>
    <t xml:space="preserve">Kråk</t>
  </si>
  <si>
    <t xml:space="preserve">GKUAV06A</t>
  </si>
  <si>
    <t xml:space="preserve">Grundkurs MRPAS</t>
  </si>
  <si>
    <t xml:space="preserve">IKTMM</t>
  </si>
  <si>
    <t xml:space="preserve">Instruktörskurs TMM</t>
  </si>
  <si>
    <t xml:space="preserve">Grundkurs övnled AK "GKÖLAK"</t>
  </si>
  <si>
    <t xml:space="preserve">Instruktörskurs skyddsvakt</t>
  </si>
  <si>
    <t xml:space="preserve">MAR423FBANK</t>
  </si>
  <si>
    <t xml:space="preserve">Instruktörskurs närkamp bas</t>
  </si>
  <si>
    <t xml:space="preserve">2026-06-08, 2026-06-22</t>
  </si>
  <si>
    <t xml:space="preserve">2026-06-12, 2026-06-26</t>
  </si>
  <si>
    <t xml:space="preserve">LOGGK404040</t>
  </si>
  <si>
    <t xml:space="preserve">Instruktörskurs TOS</t>
  </si>
  <si>
    <t xml:space="preserve">C16020</t>
  </si>
  <si>
    <t xml:space="preserve">Instruktörskurs CBRN</t>
  </si>
  <si>
    <t xml:space="preserve">Landvetter</t>
  </si>
  <si>
    <t xml:space="preserve">FJG</t>
  </si>
  <si>
    <t xml:space="preserve">Östersund</t>
  </si>
  <si>
    <t xml:space="preserve">NBG</t>
  </si>
  <si>
    <t xml:space="preserve">VBG</t>
  </si>
  <si>
    <t xml:space="preserve">Umeå</t>
  </si>
  <si>
    <t xml:space="preserve">LJG</t>
  </si>
  <si>
    <t xml:space="preserve">Kalixfors</t>
  </si>
  <si>
    <t xml:space="preserve">VNG</t>
  </si>
  <si>
    <t xml:space="preserve">Härnösand</t>
  </si>
  <si>
    <t xml:space="preserve">Grundkurs Granatgevär</t>
  </si>
  <si>
    <t xml:space="preserve">Tåme</t>
  </si>
  <si>
    <t xml:space="preserve">Grundkurs KSP 58</t>
  </si>
  <si>
    <t xml:space="preserve">GK MRPAS</t>
  </si>
  <si>
    <t xml:space="preserve">Instruktörskurs GRG m/18 VTA och UTS</t>
  </si>
  <si>
    <t xml:space="preserve">2026-03-11, 2026-05-20</t>
  </si>
  <si>
    <t xml:space="preserve">2026-03-15, 2026-05-24</t>
  </si>
  <si>
    <t xml:space="preserve">MAHFK2011553</t>
  </si>
  <si>
    <t xml:space="preserve">Instruktörskurs 2</t>
  </si>
  <si>
    <t xml:space="preserve">2026-09-24, 2026-10-08</t>
  </si>
  <si>
    <t xml:space="preserve">2026-09-27, 2026-10-11</t>
  </si>
  <si>
    <t xml:space="preserve">GKÖLAK</t>
  </si>
  <si>
    <t xml:space="preserve">Repetition</t>
  </si>
  <si>
    <t xml:space="preserve">IK Skyddsvakt</t>
  </si>
  <si>
    <t xml:space="preserve">GKSENSOR</t>
  </si>
  <si>
    <t xml:space="preserve">GK Sensor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</si>
</sst>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/mm/dd"/>
    <numFmt numFmtId="166" formatCode="yyyymmdd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  <charset val="1"/>
    </font>
    <font>
      <sz val="9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J1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88" activeCellId="0" sqref="A88"/>
    </sheetView>
  </sheetViews>
  <sheetFormatPr defaultColWidth="11.55078125" defaultRowHeight="12.8" customHeight="true" zeroHeight="false" outlineLevelRow="0" outlineLevelCol="0"/>
  <cols>
    <col collapsed="false" customWidth="true" hidden="false" outlineLevel="0" max="1" min="1" style="1" width="15.64"/>
    <col collapsed="false" customWidth="true" hidden="false" outlineLevel="0" max="2" min="2" style="1" width="31.23"/>
    <col collapsed="false" customWidth="true" hidden="false" outlineLevel="0" max="4" min="3" style="2" width="20.51"/>
    <col collapsed="false" customWidth="true" hidden="false" outlineLevel="0" max="5" min="5" style="2" width="28.58"/>
    <col collapsed="false" customWidth="true" hidden="false" outlineLevel="0" max="6" min="6" style="1" width="13.28"/>
    <col collapsed="false" customWidth="true" hidden="false" outlineLevel="0" max="7" min="7" style="1" width="11.05"/>
    <col collapsed="false" customWidth="true" hidden="false" outlineLevel="0" max="8" min="8" style="1" width="20.09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</row>
    <row r="2" customFormat="false" ht="12.8" hidden="true" customHeight="false" outlineLevel="0" collapsed="false">
      <c r="A2" s="1" t="s">
        <v>10</v>
      </c>
      <c r="B2" s="1" t="s">
        <v>11</v>
      </c>
      <c r="C2" s="2" t="n">
        <v>46130</v>
      </c>
      <c r="D2" s="2" t="n">
        <v>46138</v>
      </c>
      <c r="E2" s="2" t="n">
        <f aca="false">C2-73</f>
        <v>46057</v>
      </c>
      <c r="F2" s="1" t="s">
        <v>12</v>
      </c>
      <c r="G2" s="1" t="s">
        <v>13</v>
      </c>
      <c r="H2" s="1" t="s">
        <v>14</v>
      </c>
    </row>
    <row r="3" customFormat="false" ht="12.8" hidden="true" customHeight="false" outlineLevel="0" collapsed="false">
      <c r="A3" s="1" t="s">
        <v>10</v>
      </c>
      <c r="B3" s="1" t="s">
        <v>11</v>
      </c>
      <c r="C3" s="2" t="n">
        <v>46151</v>
      </c>
      <c r="D3" s="2" t="n">
        <v>46159</v>
      </c>
      <c r="E3" s="2" t="n">
        <f aca="false">C3-73</f>
        <v>46078</v>
      </c>
      <c r="F3" s="1" t="s">
        <v>12</v>
      </c>
      <c r="G3" s="1" t="s">
        <v>13</v>
      </c>
      <c r="H3" s="1" t="s">
        <v>14</v>
      </c>
    </row>
    <row r="4" customFormat="false" ht="12.8" hidden="true" customHeight="false" outlineLevel="0" collapsed="false">
      <c r="A4" s="1" t="s">
        <v>10</v>
      </c>
      <c r="B4" s="1" t="s">
        <v>11</v>
      </c>
      <c r="C4" s="2" t="n">
        <v>46179</v>
      </c>
      <c r="D4" s="2" t="n">
        <v>46187</v>
      </c>
      <c r="E4" s="2" t="n">
        <f aca="false">C4-73</f>
        <v>46106</v>
      </c>
      <c r="F4" s="1" t="s">
        <v>12</v>
      </c>
      <c r="G4" s="1" t="s">
        <v>13</v>
      </c>
      <c r="H4" s="1" t="s">
        <v>14</v>
      </c>
    </row>
    <row r="5" customFormat="false" ht="12.8" hidden="true" customHeight="false" outlineLevel="0" collapsed="false">
      <c r="A5" s="1" t="s">
        <v>10</v>
      </c>
      <c r="B5" s="1" t="s">
        <v>11</v>
      </c>
      <c r="C5" s="2" t="n">
        <v>46249</v>
      </c>
      <c r="D5" s="2" t="n">
        <v>46257</v>
      </c>
      <c r="E5" s="2" t="n">
        <f aca="false">C5-73</f>
        <v>46176</v>
      </c>
      <c r="F5" s="1" t="s">
        <v>12</v>
      </c>
      <c r="G5" s="1" t="s">
        <v>13</v>
      </c>
      <c r="H5" s="1" t="s">
        <v>14</v>
      </c>
    </row>
    <row r="6" customFormat="false" ht="12.8" hidden="true" customHeight="false" outlineLevel="0" collapsed="false">
      <c r="A6" s="1" t="s">
        <v>10</v>
      </c>
      <c r="B6" s="1" t="s">
        <v>11</v>
      </c>
      <c r="C6" s="2" t="n">
        <v>46284</v>
      </c>
      <c r="D6" s="2" t="n">
        <v>46292</v>
      </c>
      <c r="E6" s="2" t="n">
        <f aca="false">C6-73</f>
        <v>46211</v>
      </c>
      <c r="F6" s="1" t="s">
        <v>12</v>
      </c>
      <c r="G6" s="1" t="s">
        <v>13</v>
      </c>
      <c r="H6" s="1" t="s">
        <v>14</v>
      </c>
    </row>
    <row r="7" customFormat="false" ht="12.8" hidden="true" customHeight="false" outlineLevel="0" collapsed="false">
      <c r="A7" s="1" t="s">
        <v>10</v>
      </c>
      <c r="B7" s="1" t="s">
        <v>11</v>
      </c>
      <c r="C7" s="2" t="n">
        <v>46312</v>
      </c>
      <c r="D7" s="2" t="n">
        <v>46320</v>
      </c>
      <c r="E7" s="2" t="n">
        <f aca="false">C7-73</f>
        <v>46239</v>
      </c>
      <c r="F7" s="1" t="s">
        <v>12</v>
      </c>
      <c r="G7" s="1" t="s">
        <v>13</v>
      </c>
      <c r="H7" s="1" t="s">
        <v>14</v>
      </c>
    </row>
    <row r="8" customFormat="false" ht="12.8" hidden="true" customHeight="false" outlineLevel="0" collapsed="false">
      <c r="A8" s="1" t="s">
        <v>10</v>
      </c>
      <c r="B8" s="1" t="s">
        <v>11</v>
      </c>
      <c r="C8" s="2" t="n">
        <v>46340</v>
      </c>
      <c r="D8" s="2" t="n">
        <v>46348</v>
      </c>
      <c r="E8" s="2" t="n">
        <f aca="false">C8-73</f>
        <v>46267</v>
      </c>
      <c r="F8" s="1" t="s">
        <v>12</v>
      </c>
      <c r="G8" s="1" t="s">
        <v>13</v>
      </c>
      <c r="H8" s="1" t="s">
        <v>14</v>
      </c>
    </row>
    <row r="9" customFormat="false" ht="12.8" hidden="true" customHeight="false" outlineLevel="0" collapsed="false">
      <c r="A9" s="1" t="s">
        <v>10</v>
      </c>
      <c r="B9" s="1" t="s">
        <v>11</v>
      </c>
      <c r="C9" s="2" t="n">
        <v>46361</v>
      </c>
      <c r="D9" s="2" t="n">
        <v>46369</v>
      </c>
      <c r="E9" s="2" t="n">
        <f aca="false">C9-73</f>
        <v>46288</v>
      </c>
      <c r="F9" s="1" t="s">
        <v>12</v>
      </c>
      <c r="G9" s="1" t="s">
        <v>13</v>
      </c>
      <c r="H9" s="1" t="s">
        <v>14</v>
      </c>
    </row>
    <row r="10" customFormat="false" ht="12.8" hidden="true" customHeight="false" outlineLevel="0" collapsed="false">
      <c r="A10" s="1" t="s">
        <v>15</v>
      </c>
      <c r="B10" s="1" t="s">
        <v>16</v>
      </c>
      <c r="C10" s="2" t="n">
        <v>46083</v>
      </c>
      <c r="D10" s="2" t="n">
        <f aca="false">C10+9</f>
        <v>46092</v>
      </c>
      <c r="E10" s="2" t="n">
        <v>46002</v>
      </c>
      <c r="F10" s="1" t="s">
        <v>17</v>
      </c>
      <c r="G10" s="1" t="s">
        <v>18</v>
      </c>
      <c r="H10" s="1" t="s">
        <v>19</v>
      </c>
    </row>
    <row r="11" customFormat="false" ht="12.8" hidden="true" customHeight="false" outlineLevel="0" collapsed="false">
      <c r="A11" s="1" t="s">
        <v>20</v>
      </c>
      <c r="B11" s="1" t="s">
        <v>21</v>
      </c>
      <c r="C11" s="2" t="n">
        <v>46265</v>
      </c>
      <c r="D11" s="2" t="n">
        <f aca="false">C11+9</f>
        <v>46274</v>
      </c>
      <c r="E11" s="2" t="n">
        <v>46186</v>
      </c>
      <c r="F11" s="5" t="s">
        <v>17</v>
      </c>
      <c r="G11" s="1" t="s">
        <v>18</v>
      </c>
      <c r="H11" s="1" t="s">
        <v>19</v>
      </c>
    </row>
    <row r="12" customFormat="false" ht="12.8" hidden="true" customHeight="false" outlineLevel="0" collapsed="false">
      <c r="A12" s="1" t="s">
        <v>22</v>
      </c>
      <c r="B12" s="1" t="s">
        <v>23</v>
      </c>
      <c r="C12" s="2" t="n">
        <v>46125</v>
      </c>
      <c r="D12" s="2" t="n">
        <f aca="false">C12+4</f>
        <v>46129</v>
      </c>
      <c r="E12" s="2" t="n">
        <v>46052</v>
      </c>
      <c r="F12" s="5" t="s">
        <v>17</v>
      </c>
      <c r="G12" s="1" t="s">
        <v>18</v>
      </c>
      <c r="H12" s="1" t="s">
        <v>19</v>
      </c>
    </row>
    <row r="13" customFormat="false" ht="12.8" hidden="true" customHeight="false" outlineLevel="0" collapsed="false">
      <c r="A13" s="1" t="s">
        <v>24</v>
      </c>
      <c r="B13" s="1" t="s">
        <v>25</v>
      </c>
      <c r="C13" s="2" t="n">
        <v>46132</v>
      </c>
      <c r="D13" s="2" t="n">
        <f aca="false">C13+9</f>
        <v>46141</v>
      </c>
      <c r="E13" s="2" t="n">
        <v>46053</v>
      </c>
      <c r="F13" s="5" t="s">
        <v>17</v>
      </c>
      <c r="G13" s="1" t="s">
        <v>18</v>
      </c>
      <c r="H13" s="1" t="s">
        <v>19</v>
      </c>
    </row>
    <row r="14" customFormat="false" ht="12.8" hidden="true" customHeight="false" outlineLevel="0" collapsed="false">
      <c r="A14" s="1" t="s">
        <v>26</v>
      </c>
      <c r="B14" s="1" t="s">
        <v>27</v>
      </c>
      <c r="C14" s="2" t="n">
        <v>46062</v>
      </c>
      <c r="D14" s="2" t="n">
        <f aca="false">C14+9</f>
        <v>46071</v>
      </c>
      <c r="E14" s="2" t="n">
        <v>45988</v>
      </c>
      <c r="F14" s="5" t="s">
        <v>17</v>
      </c>
      <c r="G14" s="1" t="s">
        <v>18</v>
      </c>
      <c r="H14" s="1" t="s">
        <v>19</v>
      </c>
    </row>
    <row r="15" customFormat="false" ht="12.8" hidden="true" customHeight="false" outlineLevel="0" collapsed="false">
      <c r="A15" s="1" t="s">
        <v>26</v>
      </c>
      <c r="B15" s="1" t="s">
        <v>27</v>
      </c>
      <c r="C15" s="2" t="n">
        <v>46321</v>
      </c>
      <c r="D15" s="2" t="n">
        <f aca="false">C15+9</f>
        <v>46330</v>
      </c>
      <c r="E15" s="2" t="n">
        <v>46248</v>
      </c>
      <c r="F15" s="5" t="s">
        <v>17</v>
      </c>
      <c r="G15" s="1" t="s">
        <v>18</v>
      </c>
      <c r="H15" s="1" t="s">
        <v>19</v>
      </c>
    </row>
    <row r="16" customFormat="false" ht="12.8" hidden="true" customHeight="false" outlineLevel="0" collapsed="false">
      <c r="A16" s="1" t="s">
        <v>28</v>
      </c>
      <c r="B16" s="1" t="s">
        <v>29</v>
      </c>
      <c r="C16" s="2" t="n">
        <v>46265</v>
      </c>
      <c r="D16" s="2" t="n">
        <f aca="false">C16+9</f>
        <v>46274</v>
      </c>
      <c r="E16" s="2" t="n">
        <v>46186</v>
      </c>
      <c r="F16" s="5" t="s">
        <v>17</v>
      </c>
      <c r="G16" s="1" t="s">
        <v>18</v>
      </c>
      <c r="H16" s="1" t="s">
        <v>19</v>
      </c>
    </row>
    <row r="17" customFormat="false" ht="12.8" hidden="true" customHeight="false" outlineLevel="0" collapsed="false">
      <c r="A17" s="1" t="s">
        <v>30</v>
      </c>
      <c r="B17" s="1" t="s">
        <v>31</v>
      </c>
      <c r="C17" s="2" t="n">
        <v>46279</v>
      </c>
      <c r="D17" s="2" t="n">
        <f aca="false">C17+4</f>
        <v>46283</v>
      </c>
      <c r="E17" s="2" t="n">
        <v>46192</v>
      </c>
      <c r="F17" s="5" t="s">
        <v>17</v>
      </c>
      <c r="G17" s="1" t="s">
        <v>18</v>
      </c>
      <c r="H17" s="1" t="s">
        <v>19</v>
      </c>
    </row>
    <row r="18" customFormat="false" ht="12.8" hidden="true" customHeight="false" outlineLevel="0" collapsed="false">
      <c r="A18" s="1" t="s">
        <v>30</v>
      </c>
      <c r="B18" s="1" t="s">
        <v>31</v>
      </c>
      <c r="C18" s="2" t="n">
        <v>46307</v>
      </c>
      <c r="D18" s="2" t="n">
        <f aca="false">C18+4</f>
        <v>46311</v>
      </c>
      <c r="E18" s="2" t="n">
        <v>46241</v>
      </c>
      <c r="F18" s="5" t="s">
        <v>17</v>
      </c>
      <c r="G18" s="1" t="s">
        <v>18</v>
      </c>
      <c r="H18" s="1" t="s">
        <v>19</v>
      </c>
    </row>
    <row r="19" customFormat="false" ht="12.8" hidden="true" customHeight="false" outlineLevel="0" collapsed="false">
      <c r="A19" s="1" t="s">
        <v>32</v>
      </c>
      <c r="B19" s="1" t="s">
        <v>33</v>
      </c>
      <c r="C19" s="2" t="n">
        <v>46132</v>
      </c>
      <c r="D19" s="2" t="n">
        <f aca="false">C19+9</f>
        <v>46141</v>
      </c>
      <c r="E19" s="2" t="n">
        <v>46053</v>
      </c>
      <c r="F19" s="5" t="s">
        <v>17</v>
      </c>
      <c r="G19" s="1" t="s">
        <v>18</v>
      </c>
      <c r="H19" s="1" t="s">
        <v>19</v>
      </c>
    </row>
    <row r="20" customFormat="false" ht="12.8" hidden="true" customHeight="false" outlineLevel="0" collapsed="false">
      <c r="A20" s="1" t="s">
        <v>34</v>
      </c>
      <c r="B20" s="1" t="s">
        <v>35</v>
      </c>
      <c r="C20" s="2" t="n">
        <v>46104</v>
      </c>
      <c r="D20" s="2" t="n">
        <f aca="false">C20+3</f>
        <v>46107</v>
      </c>
      <c r="E20" s="2" t="n">
        <v>46038</v>
      </c>
      <c r="F20" s="5" t="s">
        <v>17</v>
      </c>
      <c r="G20" s="1" t="s">
        <v>18</v>
      </c>
      <c r="H20" s="1" t="s">
        <v>36</v>
      </c>
    </row>
    <row r="21" customFormat="false" ht="12.8" hidden="true" customHeight="false" outlineLevel="0" collapsed="false">
      <c r="A21" s="1" t="s">
        <v>34</v>
      </c>
      <c r="B21" s="1" t="s">
        <v>35</v>
      </c>
      <c r="C21" s="2" t="n">
        <v>46342</v>
      </c>
      <c r="D21" s="2" t="n">
        <f aca="false">C21+3</f>
        <v>46345</v>
      </c>
      <c r="E21" s="2" t="n">
        <v>46283</v>
      </c>
      <c r="F21" s="5" t="s">
        <v>17</v>
      </c>
      <c r="G21" s="1" t="s">
        <v>18</v>
      </c>
      <c r="H21" s="1" t="s">
        <v>36</v>
      </c>
    </row>
    <row r="22" customFormat="false" ht="12.8" hidden="true" customHeight="false" outlineLevel="0" collapsed="false">
      <c r="A22" s="1" t="s">
        <v>37</v>
      </c>
      <c r="B22" s="1" t="s">
        <v>38</v>
      </c>
      <c r="C22" s="2" t="n">
        <v>46062</v>
      </c>
      <c r="D22" s="2" t="n">
        <f aca="false">C22+9</f>
        <v>46071</v>
      </c>
      <c r="E22" s="2" t="n">
        <v>45988</v>
      </c>
      <c r="F22" s="5" t="s">
        <v>17</v>
      </c>
      <c r="G22" s="1" t="s">
        <v>18</v>
      </c>
      <c r="H22" s="1" t="s">
        <v>14</v>
      </c>
    </row>
    <row r="23" customFormat="false" ht="12.8" hidden="true" customHeight="false" outlineLevel="0" collapsed="false">
      <c r="A23" s="1" t="s">
        <v>39</v>
      </c>
      <c r="B23" s="1" t="s">
        <v>40</v>
      </c>
      <c r="C23" s="2" t="n">
        <v>46334</v>
      </c>
      <c r="D23" s="2" t="n">
        <f aca="false">C23+4</f>
        <v>46338</v>
      </c>
      <c r="E23" s="2" t="n">
        <v>46192</v>
      </c>
      <c r="F23" s="5" t="s">
        <v>17</v>
      </c>
      <c r="G23" s="1" t="s">
        <v>41</v>
      </c>
      <c r="H23" s="1" t="s">
        <v>14</v>
      </c>
    </row>
    <row r="24" customFormat="false" ht="12.8" hidden="true" customHeight="false" outlineLevel="0" collapsed="false">
      <c r="A24" s="1" t="s">
        <v>42</v>
      </c>
      <c r="B24" s="1" t="s">
        <v>43</v>
      </c>
      <c r="C24" s="2" t="n">
        <v>46146</v>
      </c>
      <c r="D24" s="2" t="n">
        <f aca="false">C24+4</f>
        <v>46150</v>
      </c>
      <c r="E24" s="2" t="n">
        <v>46075</v>
      </c>
      <c r="F24" s="5" t="s">
        <v>17</v>
      </c>
      <c r="G24" s="1" t="s">
        <v>18</v>
      </c>
      <c r="H24" s="1" t="s">
        <v>14</v>
      </c>
    </row>
    <row r="25" customFormat="false" ht="12.8" hidden="true" customHeight="false" outlineLevel="0" collapsed="false">
      <c r="A25" s="1" t="s">
        <v>44</v>
      </c>
      <c r="B25" s="1" t="s">
        <v>45</v>
      </c>
      <c r="C25" s="2" t="n">
        <v>46048</v>
      </c>
      <c r="D25" s="2" t="n">
        <f aca="false">C25+9</f>
        <v>46057</v>
      </c>
      <c r="E25" s="2" t="n">
        <v>45975</v>
      </c>
      <c r="F25" s="5" t="s">
        <v>17</v>
      </c>
      <c r="G25" s="1" t="s">
        <v>18</v>
      </c>
      <c r="H25" s="1" t="s">
        <v>14</v>
      </c>
    </row>
    <row r="26" customFormat="false" ht="12.8" hidden="true" customHeight="false" outlineLevel="0" collapsed="false">
      <c r="A26" s="1" t="s">
        <v>44</v>
      </c>
      <c r="B26" s="1" t="s">
        <v>45</v>
      </c>
      <c r="C26" s="2" t="n">
        <v>46160</v>
      </c>
      <c r="D26" s="2" t="n">
        <f aca="false">C26+9</f>
        <v>46169</v>
      </c>
      <c r="E26" s="2" t="n">
        <v>46087</v>
      </c>
      <c r="F26" s="5" t="s">
        <v>17</v>
      </c>
      <c r="G26" s="1" t="s">
        <v>18</v>
      </c>
      <c r="H26" s="1" t="s">
        <v>14</v>
      </c>
    </row>
    <row r="27" customFormat="false" ht="12.8" hidden="true" customHeight="false" outlineLevel="0" collapsed="false">
      <c r="A27" s="1" t="s">
        <v>46</v>
      </c>
      <c r="B27" s="1" t="s">
        <v>47</v>
      </c>
      <c r="C27" s="2" t="n">
        <v>46058</v>
      </c>
      <c r="D27" s="2" t="n">
        <f aca="false">C27+1</f>
        <v>46059</v>
      </c>
      <c r="E27" s="2" t="n">
        <v>45988</v>
      </c>
      <c r="F27" s="5" t="s">
        <v>17</v>
      </c>
      <c r="G27" s="1" t="s">
        <v>18</v>
      </c>
      <c r="H27" s="1" t="s">
        <v>48</v>
      </c>
    </row>
    <row r="28" customFormat="false" ht="12.8" hidden="true" customHeight="false" outlineLevel="0" collapsed="false">
      <c r="A28" s="1" t="s">
        <v>46</v>
      </c>
      <c r="B28" s="1" t="s">
        <v>47</v>
      </c>
      <c r="C28" s="2" t="n">
        <v>46282</v>
      </c>
      <c r="D28" s="2" t="n">
        <f aca="false">C28+1</f>
        <v>46283</v>
      </c>
      <c r="E28" s="2" t="n">
        <v>46192</v>
      </c>
      <c r="F28" s="5" t="s">
        <v>17</v>
      </c>
      <c r="G28" s="1" t="s">
        <v>18</v>
      </c>
      <c r="H28" s="1" t="s">
        <v>48</v>
      </c>
    </row>
    <row r="29" customFormat="false" ht="12.8" hidden="true" customHeight="false" outlineLevel="0" collapsed="false">
      <c r="A29" s="1" t="s">
        <v>49</v>
      </c>
      <c r="B29" s="1" t="s">
        <v>50</v>
      </c>
      <c r="C29" s="2" t="n">
        <v>46194</v>
      </c>
      <c r="D29" s="2" t="n">
        <f aca="false">C29+2</f>
        <v>46196</v>
      </c>
      <c r="E29" s="2" t="n">
        <v>46115</v>
      </c>
      <c r="F29" s="5" t="s">
        <v>17</v>
      </c>
      <c r="G29" s="1" t="s">
        <v>18</v>
      </c>
      <c r="H29" s="1" t="s">
        <v>48</v>
      </c>
    </row>
    <row r="30" customFormat="false" ht="12.8" hidden="true" customHeight="false" outlineLevel="0" collapsed="false">
      <c r="A30" s="1" t="s">
        <v>51</v>
      </c>
      <c r="B30" s="1" t="s">
        <v>52</v>
      </c>
      <c r="C30" s="2" t="n">
        <v>46153</v>
      </c>
      <c r="D30" s="2" t="n">
        <f aca="false">C30+4</f>
        <v>46157</v>
      </c>
      <c r="E30" s="2" t="n">
        <v>46080</v>
      </c>
      <c r="F30" s="5" t="s">
        <v>17</v>
      </c>
      <c r="G30" s="1" t="s">
        <v>18</v>
      </c>
      <c r="H30" s="1" t="s">
        <v>48</v>
      </c>
    </row>
    <row r="31" customFormat="false" ht="12.8" hidden="true" customHeight="false" outlineLevel="0" collapsed="false">
      <c r="A31" s="1" t="s">
        <v>51</v>
      </c>
      <c r="B31" s="1" t="s">
        <v>52</v>
      </c>
      <c r="C31" s="2" t="n">
        <v>46300</v>
      </c>
      <c r="D31" s="2" t="n">
        <f aca="false">C31+4</f>
        <v>46304</v>
      </c>
      <c r="E31" s="2" t="n">
        <v>46157</v>
      </c>
      <c r="F31" s="5" t="s">
        <v>17</v>
      </c>
      <c r="G31" s="1" t="s">
        <v>18</v>
      </c>
      <c r="H31" s="1" t="s">
        <v>48</v>
      </c>
    </row>
    <row r="32" customFormat="false" ht="12.8" hidden="true" customHeight="false" outlineLevel="0" collapsed="false">
      <c r="A32" s="1" t="s">
        <v>53</v>
      </c>
      <c r="B32" s="1" t="s">
        <v>54</v>
      </c>
      <c r="C32" s="2" t="n">
        <v>46055</v>
      </c>
      <c r="D32" s="2" t="n">
        <f aca="false">C32+3</f>
        <v>46058</v>
      </c>
      <c r="E32" s="2" t="n">
        <v>45988</v>
      </c>
      <c r="F32" s="5" t="s">
        <v>17</v>
      </c>
      <c r="G32" s="1" t="s">
        <v>18</v>
      </c>
      <c r="H32" s="1" t="s">
        <v>48</v>
      </c>
    </row>
    <row r="33" customFormat="false" ht="12.8" hidden="true" customHeight="false" outlineLevel="0" collapsed="false">
      <c r="A33" s="1" t="s">
        <v>53</v>
      </c>
      <c r="B33" s="1" t="s">
        <v>54</v>
      </c>
      <c r="C33" s="2" t="n">
        <v>46279</v>
      </c>
      <c r="D33" s="2" t="n">
        <f aca="false">C33+3</f>
        <v>46282</v>
      </c>
      <c r="E33" s="2" t="n">
        <v>45988</v>
      </c>
      <c r="F33" s="5" t="s">
        <v>17</v>
      </c>
      <c r="G33" s="1" t="s">
        <v>18</v>
      </c>
      <c r="H33" s="1" t="s">
        <v>48</v>
      </c>
    </row>
    <row r="34" customFormat="false" ht="12.8" hidden="true" customHeight="false" outlineLevel="0" collapsed="false">
      <c r="A34" s="1" t="s">
        <v>55</v>
      </c>
      <c r="B34" s="1" t="s">
        <v>56</v>
      </c>
      <c r="C34" s="2" t="n">
        <v>46034</v>
      </c>
      <c r="D34" s="2" t="n">
        <v>46043</v>
      </c>
      <c r="E34" s="2" t="n">
        <v>45961</v>
      </c>
      <c r="F34" s="1" t="s">
        <v>57</v>
      </c>
      <c r="G34" s="1" t="s">
        <v>58</v>
      </c>
      <c r="H34" s="1" t="s">
        <v>19</v>
      </c>
      <c r="I34" s="1" t="n">
        <v>25</v>
      </c>
      <c r="J34" s="1"/>
    </row>
    <row r="35" customFormat="false" ht="12.8" hidden="true" customHeight="false" outlineLevel="0" collapsed="false">
      <c r="A35" s="1" t="s">
        <v>55</v>
      </c>
      <c r="B35" s="1" t="s">
        <v>56</v>
      </c>
      <c r="C35" s="2" t="n">
        <v>46104</v>
      </c>
      <c r="D35" s="2" t="n">
        <v>46113</v>
      </c>
      <c r="E35" s="2" t="n">
        <v>46031</v>
      </c>
      <c r="F35" s="1" t="s">
        <v>59</v>
      </c>
      <c r="G35" s="1" t="s">
        <v>60</v>
      </c>
      <c r="H35" s="1" t="s">
        <v>19</v>
      </c>
      <c r="I35" s="1" t="n">
        <v>25</v>
      </c>
      <c r="J35" s="1"/>
    </row>
    <row r="36" customFormat="false" ht="12.8" hidden="true" customHeight="false" outlineLevel="0" collapsed="false">
      <c r="A36" s="1" t="s">
        <v>61</v>
      </c>
      <c r="B36" s="1" t="s">
        <v>62</v>
      </c>
      <c r="C36" s="2" t="n">
        <v>46034</v>
      </c>
      <c r="D36" s="2" t="n">
        <v>46043</v>
      </c>
      <c r="E36" s="2" t="n">
        <v>45961</v>
      </c>
      <c r="F36" s="1" t="s">
        <v>57</v>
      </c>
      <c r="G36" s="1" t="s">
        <v>58</v>
      </c>
      <c r="H36" s="1" t="s">
        <v>19</v>
      </c>
      <c r="I36" s="1" t="n">
        <v>15</v>
      </c>
      <c r="J36" s="1"/>
    </row>
    <row r="37" customFormat="false" ht="12.8" hidden="true" customHeight="false" outlineLevel="0" collapsed="false">
      <c r="A37" s="1" t="s">
        <v>61</v>
      </c>
      <c r="B37" s="1" t="s">
        <v>62</v>
      </c>
      <c r="C37" s="2" t="n">
        <v>46209</v>
      </c>
      <c r="D37" s="2" t="n">
        <v>46250</v>
      </c>
      <c r="E37" s="2" t="n">
        <f aca="false">C37-73</f>
        <v>46136</v>
      </c>
      <c r="F37" s="1" t="s">
        <v>59</v>
      </c>
      <c r="G37" s="1" t="s">
        <v>63</v>
      </c>
      <c r="H37" s="1" t="s">
        <v>19</v>
      </c>
      <c r="I37" s="1" t="n">
        <v>16</v>
      </c>
      <c r="J37" s="1"/>
    </row>
    <row r="38" customFormat="false" ht="12.8" hidden="true" customHeight="false" outlineLevel="0" collapsed="false">
      <c r="A38" s="1" t="s">
        <v>32</v>
      </c>
      <c r="B38" s="1" t="s">
        <v>33</v>
      </c>
      <c r="C38" s="2" t="s">
        <v>64</v>
      </c>
      <c r="D38" s="2" t="s">
        <v>65</v>
      </c>
      <c r="E38" s="2" t="n">
        <v>46264</v>
      </c>
      <c r="F38" s="1" t="s">
        <v>66</v>
      </c>
      <c r="G38" s="1" t="s">
        <v>67</v>
      </c>
      <c r="H38" s="1" t="s">
        <v>19</v>
      </c>
      <c r="I38" s="1" t="n">
        <v>15</v>
      </c>
      <c r="J38" s="1"/>
    </row>
    <row r="39" customFormat="false" ht="12.8" hidden="true" customHeight="false" outlineLevel="0" collapsed="false">
      <c r="A39" s="1" t="s">
        <v>68</v>
      </c>
      <c r="B39" s="1" t="s">
        <v>69</v>
      </c>
      <c r="C39" s="2" t="s">
        <v>70</v>
      </c>
      <c r="D39" s="2" t="s">
        <v>71</v>
      </c>
      <c r="E39" s="2" t="n">
        <v>45977</v>
      </c>
      <c r="F39" s="1" t="s">
        <v>66</v>
      </c>
      <c r="G39" s="1" t="s">
        <v>72</v>
      </c>
      <c r="H39" s="1" t="s">
        <v>14</v>
      </c>
      <c r="I39" s="1" t="n">
        <v>25</v>
      </c>
      <c r="J39" s="1"/>
    </row>
    <row r="40" customFormat="false" ht="12.8" hidden="true" customHeight="false" outlineLevel="0" collapsed="false">
      <c r="A40" s="1" t="s">
        <v>24</v>
      </c>
      <c r="B40" s="1" t="s">
        <v>25</v>
      </c>
      <c r="C40" s="2" t="n">
        <v>46083</v>
      </c>
      <c r="D40" s="2" t="n">
        <v>46092</v>
      </c>
      <c r="E40" s="2" t="n">
        <v>46038</v>
      </c>
      <c r="F40" s="1" t="s">
        <v>73</v>
      </c>
      <c r="G40" s="1" t="s">
        <v>74</v>
      </c>
      <c r="H40" s="1" t="s">
        <v>19</v>
      </c>
      <c r="I40" s="1" t="n">
        <v>24</v>
      </c>
      <c r="J40" s="1"/>
    </row>
    <row r="41" customFormat="false" ht="12.8" hidden="true" customHeight="false" outlineLevel="0" collapsed="false">
      <c r="A41" s="1" t="s">
        <v>24</v>
      </c>
      <c r="B41" s="1" t="s">
        <v>25</v>
      </c>
      <c r="C41" s="2" t="n">
        <v>46209</v>
      </c>
      <c r="D41" s="2" t="n">
        <v>46250</v>
      </c>
      <c r="E41" s="2" t="n">
        <f aca="false">C41-73</f>
        <v>46136</v>
      </c>
      <c r="F41" s="1" t="s">
        <v>59</v>
      </c>
      <c r="G41" s="1" t="s">
        <v>63</v>
      </c>
      <c r="H41" s="1" t="s">
        <v>19</v>
      </c>
      <c r="I41" s="1" t="n">
        <v>24</v>
      </c>
      <c r="J41" s="1"/>
    </row>
    <row r="42" customFormat="false" ht="12.8" hidden="true" customHeight="false" outlineLevel="0" collapsed="false">
      <c r="A42" s="1" t="s">
        <v>24</v>
      </c>
      <c r="B42" s="1" t="s">
        <v>25</v>
      </c>
      <c r="C42" s="2" t="s">
        <v>64</v>
      </c>
      <c r="D42" s="2" t="s">
        <v>75</v>
      </c>
      <c r="E42" s="2" t="n">
        <v>46264</v>
      </c>
      <c r="F42" s="1" t="s">
        <v>66</v>
      </c>
      <c r="G42" s="1" t="s">
        <v>67</v>
      </c>
      <c r="H42" s="1" t="s">
        <v>19</v>
      </c>
      <c r="I42" s="1" t="n">
        <v>24</v>
      </c>
      <c r="J42" s="1"/>
    </row>
    <row r="43" customFormat="false" ht="12.8" hidden="true" customHeight="false" outlineLevel="0" collapsed="false">
      <c r="A43" s="1" t="s">
        <v>76</v>
      </c>
      <c r="B43" s="1" t="s">
        <v>77</v>
      </c>
      <c r="C43" s="2" t="n">
        <v>46479</v>
      </c>
      <c r="D43" s="2" t="n">
        <v>46488</v>
      </c>
      <c r="E43" s="2" t="n">
        <v>46404</v>
      </c>
      <c r="F43" s="1" t="s">
        <v>66</v>
      </c>
      <c r="G43" s="1" t="s">
        <v>58</v>
      </c>
      <c r="H43" s="1" t="s">
        <v>19</v>
      </c>
      <c r="I43" s="1" t="n">
        <v>30</v>
      </c>
      <c r="J43" s="1"/>
    </row>
    <row r="44" customFormat="false" ht="12.8" hidden="true" customHeight="false" outlineLevel="0" collapsed="false">
      <c r="A44" s="1" t="s">
        <v>22</v>
      </c>
      <c r="B44" s="1" t="s">
        <v>23</v>
      </c>
      <c r="C44" s="2" t="s">
        <v>78</v>
      </c>
      <c r="D44" s="5" t="s">
        <v>79</v>
      </c>
      <c r="E44" s="2" t="n">
        <v>46068</v>
      </c>
      <c r="F44" s="1" t="s">
        <v>66</v>
      </c>
      <c r="G44" s="1" t="s">
        <v>72</v>
      </c>
      <c r="H44" s="1" t="s">
        <v>19</v>
      </c>
      <c r="I44" s="1" t="n">
        <v>18</v>
      </c>
    </row>
    <row r="45" customFormat="false" ht="12.8" hidden="true" customHeight="false" outlineLevel="0" collapsed="false">
      <c r="A45" s="1" t="s">
        <v>80</v>
      </c>
      <c r="B45" s="1" t="s">
        <v>81</v>
      </c>
      <c r="C45" s="2" t="n">
        <v>46080</v>
      </c>
      <c r="D45" s="2" t="n">
        <f aca="false">C45+2</f>
        <v>46082</v>
      </c>
      <c r="E45" s="2" t="n">
        <v>46038</v>
      </c>
      <c r="F45" s="1" t="s">
        <v>73</v>
      </c>
      <c r="G45" s="1" t="s">
        <v>74</v>
      </c>
      <c r="H45" s="1" t="s">
        <v>14</v>
      </c>
      <c r="I45" s="1" t="n">
        <v>40</v>
      </c>
    </row>
    <row r="46" customFormat="false" ht="12.8" hidden="true" customHeight="false" outlineLevel="0" collapsed="false">
      <c r="A46" s="1" t="s">
        <v>80</v>
      </c>
      <c r="B46" s="1" t="s">
        <v>81</v>
      </c>
      <c r="C46" s="2" t="n">
        <v>46080</v>
      </c>
      <c r="D46" s="2" t="n">
        <v>46082</v>
      </c>
      <c r="E46" s="2" t="n">
        <v>46038</v>
      </c>
      <c r="F46" s="1" t="s">
        <v>57</v>
      </c>
      <c r="G46" s="1" t="s">
        <v>58</v>
      </c>
      <c r="H46" s="1" t="s">
        <v>14</v>
      </c>
      <c r="I46" s="1" t="n">
        <v>40</v>
      </c>
    </row>
    <row r="47" customFormat="false" ht="12.8" hidden="true" customHeight="false" outlineLevel="0" collapsed="false">
      <c r="A47" s="1" t="s">
        <v>80</v>
      </c>
      <c r="B47" s="1" t="s">
        <v>81</v>
      </c>
      <c r="C47" s="2" t="n">
        <v>46157</v>
      </c>
      <c r="D47" s="2" t="n">
        <v>46159</v>
      </c>
      <c r="E47" s="2" t="n">
        <v>46114</v>
      </c>
      <c r="F47" s="1" t="s">
        <v>73</v>
      </c>
      <c r="G47" s="1" t="s">
        <v>74</v>
      </c>
      <c r="H47" s="1" t="s">
        <v>14</v>
      </c>
      <c r="I47" s="1" t="n">
        <v>40</v>
      </c>
    </row>
    <row r="48" customFormat="false" ht="12.8" hidden="true" customHeight="false" outlineLevel="0" collapsed="false">
      <c r="A48" s="1" t="s">
        <v>80</v>
      </c>
      <c r="B48" s="1" t="s">
        <v>81</v>
      </c>
      <c r="C48" s="2" t="n">
        <v>46185</v>
      </c>
      <c r="D48" s="2" t="n">
        <v>46187</v>
      </c>
      <c r="E48" s="2" t="n">
        <f aca="false">C48-73</f>
        <v>46112</v>
      </c>
      <c r="F48" s="1" t="s">
        <v>57</v>
      </c>
      <c r="G48" s="1" t="s">
        <v>58</v>
      </c>
      <c r="H48" s="1" t="s">
        <v>14</v>
      </c>
      <c r="I48" s="1" t="n">
        <v>40</v>
      </c>
    </row>
    <row r="49" customFormat="false" ht="12.8" hidden="true" customHeight="false" outlineLevel="0" collapsed="false">
      <c r="A49" s="1" t="s">
        <v>80</v>
      </c>
      <c r="B49" s="1" t="s">
        <v>81</v>
      </c>
      <c r="C49" s="2" t="n">
        <v>46262</v>
      </c>
      <c r="D49" s="2" t="n">
        <v>46264</v>
      </c>
      <c r="E49" s="2" t="n">
        <v>46185</v>
      </c>
      <c r="F49" s="1" t="s">
        <v>73</v>
      </c>
      <c r="G49" s="1" t="s">
        <v>74</v>
      </c>
      <c r="H49" s="1" t="s">
        <v>14</v>
      </c>
      <c r="I49" s="1" t="n">
        <v>40</v>
      </c>
    </row>
    <row r="50" customFormat="false" ht="12.8" hidden="true" customHeight="false" outlineLevel="0" collapsed="false">
      <c r="A50" s="1" t="s">
        <v>80</v>
      </c>
      <c r="B50" s="1" t="s">
        <v>81</v>
      </c>
      <c r="C50" s="2" t="n">
        <v>46332</v>
      </c>
      <c r="D50" s="2" t="n">
        <v>46334</v>
      </c>
      <c r="E50" s="2" t="n">
        <v>46290</v>
      </c>
      <c r="F50" s="1" t="s">
        <v>66</v>
      </c>
      <c r="G50" s="1" t="s">
        <v>67</v>
      </c>
      <c r="H50" s="1" t="s">
        <v>14</v>
      </c>
      <c r="I50" s="1" t="n">
        <v>40</v>
      </c>
    </row>
    <row r="51" customFormat="false" ht="12.8" hidden="false" customHeight="false" outlineLevel="0" collapsed="false">
      <c r="A51" s="1" t="s">
        <v>82</v>
      </c>
      <c r="B51" s="1" t="s">
        <v>83</v>
      </c>
      <c r="C51" s="2" t="n">
        <v>46086</v>
      </c>
      <c r="D51" s="2" t="n">
        <v>46089</v>
      </c>
      <c r="E51" s="2" t="n">
        <v>46024</v>
      </c>
      <c r="F51" s="1" t="s">
        <v>66</v>
      </c>
      <c r="G51" s="1" t="s">
        <v>67</v>
      </c>
      <c r="H51" s="1" t="s">
        <v>14</v>
      </c>
      <c r="I51" s="1" t="n">
        <v>12</v>
      </c>
    </row>
    <row r="52" customFormat="false" ht="12.8" hidden="true" customHeight="false" outlineLevel="0" collapsed="false">
      <c r="A52" s="1" t="s">
        <v>84</v>
      </c>
      <c r="B52" s="1" t="s">
        <v>85</v>
      </c>
      <c r="C52" s="2" t="n">
        <v>46087</v>
      </c>
      <c r="D52" s="2" t="n">
        <v>46089</v>
      </c>
      <c r="E52" s="2" t="n">
        <v>46024</v>
      </c>
      <c r="F52" s="1" t="s">
        <v>66</v>
      </c>
      <c r="G52" s="1" t="s">
        <v>67</v>
      </c>
      <c r="H52" s="1" t="s">
        <v>14</v>
      </c>
      <c r="I52" s="1" t="n">
        <v>30</v>
      </c>
    </row>
    <row r="53" customFormat="false" ht="12.8" hidden="true" customHeight="false" outlineLevel="0" collapsed="false">
      <c r="A53" s="1" t="s">
        <v>86</v>
      </c>
      <c r="B53" s="1" t="s">
        <v>87</v>
      </c>
      <c r="C53" s="2" t="n">
        <v>46104</v>
      </c>
      <c r="D53" s="2" t="n">
        <v>46110</v>
      </c>
      <c r="E53" s="2" t="n">
        <v>46031</v>
      </c>
      <c r="F53" s="1" t="s">
        <v>59</v>
      </c>
      <c r="G53" s="1" t="s">
        <v>60</v>
      </c>
      <c r="H53" s="1" t="s">
        <v>14</v>
      </c>
      <c r="I53" s="1" t="n">
        <v>16</v>
      </c>
    </row>
    <row r="54" customFormat="false" ht="12.8" hidden="true" customHeight="false" outlineLevel="0" collapsed="false">
      <c r="A54" s="1" t="s">
        <v>86</v>
      </c>
      <c r="B54" s="1" t="s">
        <v>87</v>
      </c>
      <c r="C54" s="2" t="n">
        <v>46114</v>
      </c>
      <c r="D54" s="2" t="n">
        <v>46116</v>
      </c>
      <c r="E54" s="2" t="n">
        <v>46038</v>
      </c>
      <c r="F54" s="1" t="s">
        <v>66</v>
      </c>
      <c r="G54" s="1" t="s">
        <v>58</v>
      </c>
      <c r="H54" s="1" t="s">
        <v>14</v>
      </c>
      <c r="I54" s="1" t="n">
        <v>12</v>
      </c>
    </row>
    <row r="55" customFormat="false" ht="12.8" hidden="true" customHeight="false" outlineLevel="0" collapsed="false">
      <c r="A55" s="1" t="s">
        <v>88</v>
      </c>
      <c r="B55" s="1" t="s">
        <v>89</v>
      </c>
      <c r="C55" s="2" t="n">
        <v>46104</v>
      </c>
      <c r="D55" s="2" t="n">
        <v>46110</v>
      </c>
      <c r="E55" s="2" t="n">
        <v>46031</v>
      </c>
      <c r="F55" s="1" t="s">
        <v>59</v>
      </c>
      <c r="G55" s="1" t="s">
        <v>60</v>
      </c>
      <c r="H55" s="1" t="s">
        <v>14</v>
      </c>
      <c r="I55" s="1" t="n">
        <v>16</v>
      </c>
    </row>
    <row r="56" customFormat="false" ht="12.8" hidden="true" customHeight="false" outlineLevel="0" collapsed="false">
      <c r="A56" s="1" t="s">
        <v>88</v>
      </c>
      <c r="B56" s="1" t="s">
        <v>89</v>
      </c>
      <c r="C56" s="2" t="n">
        <v>46114</v>
      </c>
      <c r="D56" s="2" t="n">
        <v>46116</v>
      </c>
      <c r="E56" s="2" t="n">
        <v>46038</v>
      </c>
      <c r="F56" s="1" t="s">
        <v>66</v>
      </c>
      <c r="G56" s="1" t="s">
        <v>58</v>
      </c>
      <c r="H56" s="1" t="s">
        <v>14</v>
      </c>
      <c r="I56" s="1" t="n">
        <v>12</v>
      </c>
    </row>
    <row r="57" customFormat="false" ht="12.8" hidden="true" customHeight="true" outlineLevel="0" collapsed="false">
      <c r="A57" s="1" t="s">
        <v>68</v>
      </c>
      <c r="B57" s="1" t="s">
        <v>90</v>
      </c>
      <c r="C57" s="2" t="n">
        <v>46155</v>
      </c>
      <c r="D57" s="2" t="n">
        <v>46159</v>
      </c>
      <c r="E57" s="2" t="n">
        <f aca="false">C57-73</f>
        <v>46082</v>
      </c>
      <c r="F57" s="1" t="s">
        <v>57</v>
      </c>
      <c r="G57" s="1" t="s">
        <v>58</v>
      </c>
      <c r="H57" s="1" t="s">
        <v>14</v>
      </c>
      <c r="I57" s="1" t="n">
        <v>20</v>
      </c>
    </row>
    <row r="58" customFormat="false" ht="12.8" hidden="true" customHeight="true" outlineLevel="0" collapsed="false">
      <c r="A58" s="1" t="s">
        <v>68</v>
      </c>
      <c r="B58" s="1" t="s">
        <v>91</v>
      </c>
      <c r="C58" s="2" t="n">
        <v>46351</v>
      </c>
      <c r="D58" s="2" t="n">
        <v>46355</v>
      </c>
      <c r="E58" s="2" t="n">
        <f aca="false">C58-73</f>
        <v>46278</v>
      </c>
      <c r="F58" s="2" t="s">
        <v>57</v>
      </c>
      <c r="G58" s="1" t="s">
        <v>58</v>
      </c>
      <c r="H58" s="1" t="s">
        <v>14</v>
      </c>
      <c r="I58" s="1" t="n">
        <v>20</v>
      </c>
    </row>
    <row r="59" customFormat="false" ht="12.8" hidden="true" customHeight="true" outlineLevel="0" collapsed="false">
      <c r="A59" s="1" t="s">
        <v>92</v>
      </c>
      <c r="B59" s="1" t="s">
        <v>93</v>
      </c>
      <c r="C59" s="2" t="n">
        <v>46167</v>
      </c>
      <c r="D59" s="2" t="n">
        <v>46176</v>
      </c>
      <c r="E59" s="2" t="n">
        <v>46122</v>
      </c>
      <c r="F59" s="1" t="s">
        <v>73</v>
      </c>
      <c r="G59" s="1" t="s">
        <v>74</v>
      </c>
      <c r="H59" s="1" t="s">
        <v>36</v>
      </c>
      <c r="I59" s="1" t="n">
        <v>20</v>
      </c>
    </row>
    <row r="60" customFormat="false" ht="12.8" hidden="true" customHeight="true" outlineLevel="0" collapsed="false">
      <c r="A60" s="1" t="s">
        <v>94</v>
      </c>
      <c r="B60" s="1" t="s">
        <v>95</v>
      </c>
      <c r="C60" s="2" t="n">
        <v>46174</v>
      </c>
      <c r="D60" s="2" t="n">
        <v>46183</v>
      </c>
      <c r="E60" s="2" t="n">
        <v>46087</v>
      </c>
      <c r="F60" s="1" t="s">
        <v>59</v>
      </c>
      <c r="G60" s="1" t="s">
        <v>60</v>
      </c>
      <c r="H60" s="1" t="s">
        <v>36</v>
      </c>
      <c r="I60" s="1" t="n">
        <v>24</v>
      </c>
    </row>
    <row r="61" customFormat="false" ht="12.8" hidden="true" customHeight="true" outlineLevel="0" collapsed="false">
      <c r="A61" s="1" t="s">
        <v>96</v>
      </c>
      <c r="B61" s="1" t="s">
        <v>97</v>
      </c>
      <c r="C61" s="2" t="n">
        <v>46200</v>
      </c>
      <c r="D61" s="2" t="n">
        <f aca="false">C61+9</f>
        <v>46209</v>
      </c>
      <c r="E61" s="2" t="n">
        <v>46103</v>
      </c>
      <c r="F61" s="1" t="s">
        <v>98</v>
      </c>
      <c r="G61" s="1" t="s">
        <v>99</v>
      </c>
      <c r="H61" s="1" t="s">
        <v>19</v>
      </c>
    </row>
    <row r="62" customFormat="false" ht="12.8" hidden="true" customHeight="true" outlineLevel="0" collapsed="false">
      <c r="A62" s="1" t="s">
        <v>100</v>
      </c>
      <c r="B62" s="1" t="s">
        <v>101</v>
      </c>
      <c r="C62" s="2" t="n">
        <v>46099</v>
      </c>
      <c r="D62" s="2" t="n">
        <f aca="false">C62+11</f>
        <v>46110</v>
      </c>
      <c r="E62" s="2" t="n">
        <v>46033</v>
      </c>
      <c r="F62" s="1" t="s">
        <v>102</v>
      </c>
      <c r="G62" s="1" t="s">
        <v>103</v>
      </c>
      <c r="H62" s="1" t="s">
        <v>19</v>
      </c>
    </row>
    <row r="63" customFormat="false" ht="12.8" hidden="true" customHeight="true" outlineLevel="0" collapsed="false">
      <c r="A63" s="1" t="s">
        <v>104</v>
      </c>
      <c r="B63" s="1" t="s">
        <v>105</v>
      </c>
      <c r="C63" s="2" t="n">
        <v>46099</v>
      </c>
      <c r="D63" s="2" t="n">
        <f aca="false">C63+11</f>
        <v>46110</v>
      </c>
      <c r="E63" s="2" t="n">
        <v>46033</v>
      </c>
      <c r="F63" s="1" t="s">
        <v>102</v>
      </c>
      <c r="G63" s="1" t="s">
        <v>103</v>
      </c>
      <c r="H63" s="1" t="s">
        <v>19</v>
      </c>
    </row>
    <row r="64" customFormat="false" ht="12.8" hidden="true" customHeight="true" outlineLevel="0" collapsed="false">
      <c r="A64" s="1" t="s">
        <v>106</v>
      </c>
      <c r="B64" s="1" t="s">
        <v>107</v>
      </c>
      <c r="C64" s="2" t="n">
        <v>46097</v>
      </c>
      <c r="D64" s="2" t="n">
        <f aca="false">C64+6</f>
        <v>46103</v>
      </c>
      <c r="E64" s="2" t="n">
        <v>46033</v>
      </c>
      <c r="F64" s="1" t="s">
        <v>108</v>
      </c>
      <c r="G64" s="1" t="s">
        <v>109</v>
      </c>
      <c r="H64" s="1" t="s">
        <v>14</v>
      </c>
    </row>
    <row r="65" customFormat="false" ht="12.8" hidden="true" customHeight="true" outlineLevel="0" collapsed="false">
      <c r="A65" s="1" t="s">
        <v>106</v>
      </c>
      <c r="B65" s="1" t="s">
        <v>107</v>
      </c>
      <c r="C65" s="2" t="n">
        <v>46202</v>
      </c>
      <c r="D65" s="2" t="n">
        <f aca="false">C65+6</f>
        <v>46208</v>
      </c>
      <c r="E65" s="2" t="n">
        <v>46103</v>
      </c>
      <c r="F65" s="1" t="s">
        <v>108</v>
      </c>
      <c r="G65" s="1" t="s">
        <v>109</v>
      </c>
      <c r="H65" s="1" t="s">
        <v>14</v>
      </c>
    </row>
    <row r="66" customFormat="false" ht="12.8" hidden="true" customHeight="true" outlineLevel="0" collapsed="false">
      <c r="A66" s="1" t="s">
        <v>106</v>
      </c>
      <c r="B66" s="1" t="s">
        <v>107</v>
      </c>
      <c r="C66" s="2" t="n">
        <v>46202</v>
      </c>
      <c r="D66" s="2" t="n">
        <f aca="false">C66+6</f>
        <v>46208</v>
      </c>
      <c r="E66" s="2" t="n">
        <v>46103</v>
      </c>
      <c r="F66" s="1" t="s">
        <v>108</v>
      </c>
      <c r="G66" s="1" t="s">
        <v>109</v>
      </c>
      <c r="H66" s="1" t="s">
        <v>14</v>
      </c>
    </row>
    <row r="67" customFormat="false" ht="12.8" hidden="true" customHeight="true" outlineLevel="0" collapsed="false">
      <c r="A67" s="1" t="s">
        <v>110</v>
      </c>
      <c r="B67" s="1" t="s">
        <v>111</v>
      </c>
      <c r="C67" s="2" t="n">
        <v>46314</v>
      </c>
      <c r="D67" s="2" t="n">
        <f aca="false">C67+4</f>
        <v>46318</v>
      </c>
      <c r="E67" s="2" t="n">
        <f aca="false">C67-73</f>
        <v>46241</v>
      </c>
      <c r="F67" s="2" t="s">
        <v>98</v>
      </c>
      <c r="G67" s="1" t="s">
        <v>99</v>
      </c>
      <c r="H67" s="1" t="s">
        <v>112</v>
      </c>
    </row>
    <row r="68" customFormat="false" ht="12.8" hidden="true" customHeight="true" outlineLevel="0" collapsed="false">
      <c r="A68" s="1" t="s">
        <v>68</v>
      </c>
      <c r="B68" s="1" t="s">
        <v>91</v>
      </c>
      <c r="C68" s="2" t="n">
        <v>46314</v>
      </c>
      <c r="D68" s="2" t="n">
        <f aca="false">C68+4</f>
        <v>46318</v>
      </c>
      <c r="E68" s="2" t="n">
        <f aca="false">C68-73</f>
        <v>46241</v>
      </c>
      <c r="F68" s="2" t="s">
        <v>98</v>
      </c>
      <c r="G68" s="1" t="s">
        <v>99</v>
      </c>
      <c r="H68" s="1" t="s">
        <v>14</v>
      </c>
    </row>
    <row r="69" customFormat="false" ht="12.8" hidden="true" customHeight="true" outlineLevel="0" collapsed="false">
      <c r="A69" s="1" t="s">
        <v>68</v>
      </c>
      <c r="B69" s="1" t="s">
        <v>91</v>
      </c>
      <c r="C69" s="2" t="n">
        <v>46090</v>
      </c>
      <c r="D69" s="2" t="n">
        <f aca="false">C69+4</f>
        <v>46094</v>
      </c>
      <c r="E69" s="2" t="n">
        <v>46033</v>
      </c>
      <c r="F69" s="1" t="s">
        <v>98</v>
      </c>
      <c r="G69" s="1" t="s">
        <v>99</v>
      </c>
      <c r="H69" s="1" t="s">
        <v>14</v>
      </c>
    </row>
    <row r="70" customFormat="false" ht="12.8" hidden="true" customHeight="true" outlineLevel="0" collapsed="false">
      <c r="A70" s="1" t="s">
        <v>113</v>
      </c>
      <c r="B70" s="1" t="s">
        <v>114</v>
      </c>
      <c r="C70" s="2" t="n">
        <v>46091</v>
      </c>
      <c r="D70" s="2" t="n">
        <f aca="false">C70+4</f>
        <v>46095</v>
      </c>
      <c r="E70" s="2" t="n">
        <v>46033</v>
      </c>
      <c r="F70" s="2" t="s">
        <v>102</v>
      </c>
      <c r="G70" s="1" t="s">
        <v>103</v>
      </c>
      <c r="H70" s="1" t="s">
        <v>36</v>
      </c>
    </row>
    <row r="71" customFormat="false" ht="12.8" hidden="true" customHeight="true" outlineLevel="0" collapsed="false">
      <c r="A71" s="1" t="s">
        <v>115</v>
      </c>
      <c r="B71" s="1" t="s">
        <v>116</v>
      </c>
      <c r="C71" s="2" t="n">
        <v>46091</v>
      </c>
      <c r="D71" s="2" t="n">
        <f aca="false">C71+4</f>
        <v>46095</v>
      </c>
      <c r="E71" s="2" t="n">
        <v>46033</v>
      </c>
      <c r="F71" s="1" t="s">
        <v>102</v>
      </c>
      <c r="G71" s="1" t="s">
        <v>103</v>
      </c>
      <c r="H71" s="1" t="s">
        <v>36</v>
      </c>
    </row>
    <row r="72" customFormat="false" ht="12.8" hidden="true" customHeight="true" outlineLevel="0" collapsed="false">
      <c r="A72" s="1" t="s">
        <v>61</v>
      </c>
      <c r="B72" s="1" t="s">
        <v>62</v>
      </c>
      <c r="C72" s="2" t="n">
        <v>46038</v>
      </c>
      <c r="D72" s="2" t="n">
        <f aca="false">C72+9</f>
        <v>46047</v>
      </c>
      <c r="E72" s="2" t="n">
        <v>45984</v>
      </c>
      <c r="F72" s="1" t="s">
        <v>117</v>
      </c>
      <c r="G72" s="1" t="s">
        <v>118</v>
      </c>
      <c r="H72" s="1" t="s">
        <v>19</v>
      </c>
    </row>
    <row r="73" customFormat="false" ht="12.8" hidden="true" customHeight="true" outlineLevel="0" collapsed="false">
      <c r="A73" s="1" t="s">
        <v>104</v>
      </c>
      <c r="B73" s="1" t="s">
        <v>119</v>
      </c>
      <c r="C73" s="2" t="n">
        <v>46069</v>
      </c>
      <c r="D73" s="2" t="n">
        <f aca="false">C73+13</f>
        <v>46082</v>
      </c>
      <c r="E73" s="2" t="n">
        <v>45984</v>
      </c>
      <c r="F73" s="1" t="s">
        <v>120</v>
      </c>
      <c r="G73" s="1" t="s">
        <v>121</v>
      </c>
      <c r="H73" s="1" t="s">
        <v>19</v>
      </c>
    </row>
    <row r="74" customFormat="false" ht="12.8" hidden="true" customHeight="true" outlineLevel="0" collapsed="false">
      <c r="A74" s="1" t="s">
        <v>96</v>
      </c>
      <c r="B74" s="1" t="s">
        <v>97</v>
      </c>
      <c r="C74" s="2" t="n">
        <v>46073</v>
      </c>
      <c r="D74" s="2" t="n">
        <f aca="false">C74+9</f>
        <v>46082</v>
      </c>
      <c r="E74" s="2" t="n">
        <v>45984</v>
      </c>
      <c r="F74" s="1" t="s">
        <v>122</v>
      </c>
      <c r="G74" s="1" t="s">
        <v>123</v>
      </c>
      <c r="H74" s="1" t="s">
        <v>19</v>
      </c>
    </row>
    <row r="75" customFormat="false" ht="12.8" hidden="true" customHeight="true" outlineLevel="0" collapsed="false">
      <c r="A75" s="1" t="s">
        <v>30</v>
      </c>
      <c r="B75" s="1" t="s">
        <v>31</v>
      </c>
      <c r="C75" s="2" t="n">
        <v>46083</v>
      </c>
      <c r="D75" s="2" t="n">
        <f aca="false">C75+4</f>
        <v>46087</v>
      </c>
      <c r="E75" s="2" t="n">
        <v>45998</v>
      </c>
      <c r="F75" s="1" t="s">
        <v>124</v>
      </c>
      <c r="G75" s="1" t="s">
        <v>123</v>
      </c>
      <c r="H75" s="1" t="s">
        <v>19</v>
      </c>
    </row>
    <row r="76" customFormat="false" ht="12.8" hidden="true" customHeight="true" outlineLevel="0" collapsed="false">
      <c r="A76" s="1" t="s">
        <v>22</v>
      </c>
      <c r="B76" s="1" t="s">
        <v>23</v>
      </c>
      <c r="C76" s="2" t="n">
        <v>46085</v>
      </c>
      <c r="D76" s="2" t="n">
        <f aca="false">C76+4</f>
        <v>46089</v>
      </c>
      <c r="E76" s="2" t="n">
        <v>45998</v>
      </c>
      <c r="F76" s="1" t="s">
        <v>122</v>
      </c>
      <c r="G76" s="1" t="s">
        <v>123</v>
      </c>
      <c r="H76" s="1" t="s">
        <v>19</v>
      </c>
    </row>
    <row r="77" customFormat="false" ht="12.8" hidden="true" customHeight="true" outlineLevel="0" collapsed="false">
      <c r="A77" s="1" t="s">
        <v>24</v>
      </c>
      <c r="B77" s="1" t="s">
        <v>25</v>
      </c>
      <c r="C77" s="2" t="n">
        <v>46097</v>
      </c>
      <c r="D77" s="2" t="n">
        <f aca="false">C77+9</f>
        <v>46106</v>
      </c>
      <c r="E77" s="2" t="n">
        <v>46026</v>
      </c>
      <c r="F77" s="1" t="s">
        <v>125</v>
      </c>
      <c r="G77" s="1" t="s">
        <v>126</v>
      </c>
      <c r="H77" s="1" t="s">
        <v>19</v>
      </c>
    </row>
    <row r="78" customFormat="false" ht="12.8" hidden="true" customHeight="true" outlineLevel="0" collapsed="false">
      <c r="A78" s="1" t="s">
        <v>68</v>
      </c>
      <c r="B78" s="1" t="s">
        <v>69</v>
      </c>
      <c r="C78" s="2" t="n">
        <v>46251</v>
      </c>
      <c r="D78" s="2" t="n">
        <f aca="false">C78+4</f>
        <v>46255</v>
      </c>
      <c r="E78" s="2" t="n">
        <v>46166</v>
      </c>
      <c r="F78" s="1" t="s">
        <v>124</v>
      </c>
      <c r="G78" s="1" t="s">
        <v>123</v>
      </c>
      <c r="H78" s="1" t="s">
        <v>19</v>
      </c>
    </row>
    <row r="79" customFormat="false" ht="12.8" hidden="true" customHeight="true" outlineLevel="0" collapsed="false">
      <c r="A79" s="1" t="s">
        <v>26</v>
      </c>
      <c r="B79" s="1" t="s">
        <v>27</v>
      </c>
      <c r="C79" s="2" t="n">
        <v>46328</v>
      </c>
      <c r="D79" s="2" t="n">
        <f aca="false">C79+9</f>
        <v>46337</v>
      </c>
      <c r="E79" s="2" t="n">
        <v>46243</v>
      </c>
      <c r="F79" s="1" t="s">
        <v>127</v>
      </c>
      <c r="G79" s="1" t="s">
        <v>128</v>
      </c>
      <c r="H79" s="1" t="s">
        <v>19</v>
      </c>
    </row>
    <row r="80" customFormat="false" ht="12.8" hidden="true" customHeight="true" outlineLevel="0" collapsed="false">
      <c r="A80" s="6" t="s">
        <v>32</v>
      </c>
      <c r="B80" s="1" t="s">
        <v>33</v>
      </c>
      <c r="C80" s="2" t="n">
        <v>46328</v>
      </c>
      <c r="D80" s="2" t="n">
        <f aca="false">C80+9</f>
        <v>46337</v>
      </c>
      <c r="E80" s="2" t="n">
        <v>46243</v>
      </c>
      <c r="F80" s="1" t="s">
        <v>127</v>
      </c>
      <c r="G80" s="1" t="s">
        <v>128</v>
      </c>
      <c r="H80" s="1" t="s">
        <v>19</v>
      </c>
    </row>
    <row r="81" customFormat="false" ht="12.8" hidden="true" customHeight="true" outlineLevel="0" collapsed="false">
      <c r="A81" s="1" t="s">
        <v>129</v>
      </c>
      <c r="B81" s="1" t="s">
        <v>130</v>
      </c>
      <c r="C81" s="2" t="n">
        <v>46146</v>
      </c>
      <c r="D81" s="2" t="n">
        <v>46146</v>
      </c>
      <c r="E81" s="2" t="n">
        <v>46061</v>
      </c>
      <c r="F81" s="2" t="s">
        <v>124</v>
      </c>
      <c r="G81" s="1" t="s">
        <v>131</v>
      </c>
      <c r="H81" s="1" t="s">
        <v>14</v>
      </c>
    </row>
    <row r="82" customFormat="false" ht="12.8" hidden="true" customHeight="true" outlineLevel="0" collapsed="false">
      <c r="A82" s="1" t="s">
        <v>132</v>
      </c>
      <c r="B82" s="1" t="s">
        <v>133</v>
      </c>
      <c r="C82" s="2" t="n">
        <v>46085</v>
      </c>
      <c r="D82" s="2" t="n">
        <f aca="false">C82+4</f>
        <v>46089</v>
      </c>
      <c r="E82" s="2" t="n">
        <v>45998</v>
      </c>
      <c r="F82" s="1" t="s">
        <v>122</v>
      </c>
      <c r="G82" s="1" t="s">
        <v>123</v>
      </c>
      <c r="H82" s="1" t="s">
        <v>14</v>
      </c>
    </row>
    <row r="83" customFormat="false" ht="12.8" hidden="true" customHeight="true" outlineLevel="0" collapsed="false">
      <c r="A83" s="1" t="s">
        <v>132</v>
      </c>
      <c r="B83" s="1" t="s">
        <v>133</v>
      </c>
      <c r="C83" s="2" t="n">
        <v>46169</v>
      </c>
      <c r="D83" s="2" t="n">
        <f aca="false">C83+4</f>
        <v>46173</v>
      </c>
      <c r="E83" s="2" t="n">
        <v>46082</v>
      </c>
      <c r="F83" s="1" t="s">
        <v>122</v>
      </c>
      <c r="G83" s="1" t="s">
        <v>123</v>
      </c>
      <c r="H83" s="1" t="s">
        <v>14</v>
      </c>
    </row>
    <row r="84" customFormat="false" ht="12.8" hidden="true" customHeight="true" outlineLevel="0" collapsed="false">
      <c r="A84" s="1" t="s">
        <v>132</v>
      </c>
      <c r="B84" s="1" t="s">
        <v>133</v>
      </c>
      <c r="C84" s="2" t="n">
        <v>46288</v>
      </c>
      <c r="D84" s="2" t="n">
        <f aca="false">C84+4</f>
        <v>46292</v>
      </c>
      <c r="E84" s="2" t="n">
        <v>46201</v>
      </c>
      <c r="F84" s="1" t="s">
        <v>122</v>
      </c>
      <c r="G84" s="1" t="s">
        <v>99</v>
      </c>
      <c r="H84" s="1" t="s">
        <v>14</v>
      </c>
    </row>
    <row r="85" customFormat="false" ht="12.8" hidden="true" customHeight="true" outlineLevel="0" collapsed="false">
      <c r="A85" s="1" t="s">
        <v>132</v>
      </c>
      <c r="B85" s="1" t="s">
        <v>133</v>
      </c>
      <c r="C85" s="2" t="n">
        <v>46344</v>
      </c>
      <c r="D85" s="2" t="n">
        <f aca="false">C85+4</f>
        <v>46348</v>
      </c>
      <c r="E85" s="2" t="n">
        <v>46257</v>
      </c>
      <c r="F85" s="1" t="s">
        <v>122</v>
      </c>
      <c r="G85" s="1" t="s">
        <v>99</v>
      </c>
      <c r="H85" s="1" t="s">
        <v>14</v>
      </c>
    </row>
    <row r="86" customFormat="false" ht="12.8" hidden="true" customHeight="true" outlineLevel="0" collapsed="false">
      <c r="A86" s="1" t="s">
        <v>134</v>
      </c>
      <c r="B86" s="1" t="s">
        <v>135</v>
      </c>
      <c r="C86" s="2" t="n">
        <v>46078</v>
      </c>
      <c r="D86" s="2" t="n">
        <f aca="false">C86+4</f>
        <v>46082</v>
      </c>
      <c r="E86" s="2" t="n">
        <v>45991</v>
      </c>
      <c r="F86" s="1" t="s">
        <v>124</v>
      </c>
      <c r="G86" s="1" t="s">
        <v>123</v>
      </c>
      <c r="H86" s="1" t="s">
        <v>36</v>
      </c>
    </row>
    <row r="87" customFormat="false" ht="12.8" hidden="true" customHeight="true" outlineLevel="0" collapsed="false">
      <c r="A87" s="1" t="s">
        <v>92</v>
      </c>
      <c r="B87" s="1" t="s">
        <v>136</v>
      </c>
      <c r="C87" s="2" t="n">
        <v>46083</v>
      </c>
      <c r="D87" s="2" t="n">
        <f aca="false">C87+7</f>
        <v>46090</v>
      </c>
      <c r="E87" s="2" t="n">
        <v>45998</v>
      </c>
      <c r="F87" s="1" t="s">
        <v>125</v>
      </c>
      <c r="G87" s="1" t="s">
        <v>126</v>
      </c>
      <c r="H87" s="1" t="s">
        <v>36</v>
      </c>
    </row>
    <row r="88" customFormat="false" ht="12.8" hidden="false" customHeight="true" outlineLevel="0" collapsed="false">
      <c r="A88" s="1" t="s">
        <v>82</v>
      </c>
      <c r="B88" s="1" t="s">
        <v>137</v>
      </c>
      <c r="C88" s="2" t="n">
        <v>46085</v>
      </c>
      <c r="D88" s="2" t="n">
        <f aca="false">C88+4</f>
        <v>46089</v>
      </c>
      <c r="E88" s="2" t="n">
        <v>45998</v>
      </c>
      <c r="F88" s="1" t="s">
        <v>125</v>
      </c>
      <c r="G88" s="1" t="s">
        <v>126</v>
      </c>
      <c r="H88" s="1" t="s">
        <v>36</v>
      </c>
    </row>
    <row r="89" customFormat="false" ht="12.8" hidden="true" customHeight="true" outlineLevel="0" collapsed="false">
      <c r="A89" s="1" t="s">
        <v>138</v>
      </c>
      <c r="B89" s="1" t="s">
        <v>139</v>
      </c>
      <c r="C89" s="7" t="s">
        <v>140</v>
      </c>
      <c r="D89" s="7" t="s">
        <v>141</v>
      </c>
      <c r="E89" s="2" t="n">
        <v>46103</v>
      </c>
      <c r="F89" s="1" t="s">
        <v>120</v>
      </c>
      <c r="G89" s="1" t="s">
        <v>121</v>
      </c>
      <c r="H89" s="1" t="s">
        <v>36</v>
      </c>
    </row>
    <row r="90" customFormat="false" ht="12.8" hidden="true" customHeight="true" outlineLevel="0" collapsed="false">
      <c r="A90" s="1" t="s">
        <v>142</v>
      </c>
      <c r="B90" s="1" t="s">
        <v>143</v>
      </c>
      <c r="C90" s="2" t="n">
        <v>46253</v>
      </c>
      <c r="D90" s="2" t="n">
        <f aca="false">C90+4</f>
        <v>46257</v>
      </c>
      <c r="E90" s="2" t="n">
        <v>46166</v>
      </c>
      <c r="F90" s="1" t="s">
        <v>120</v>
      </c>
      <c r="G90" s="1" t="s">
        <v>99</v>
      </c>
      <c r="H90" s="1" t="s">
        <v>36</v>
      </c>
    </row>
    <row r="91" customFormat="false" ht="12.8" hidden="true" customHeight="true" outlineLevel="0" collapsed="false">
      <c r="A91" s="1" t="s">
        <v>144</v>
      </c>
      <c r="B91" s="1" t="s">
        <v>145</v>
      </c>
      <c r="C91" s="2" t="n">
        <v>46253</v>
      </c>
      <c r="D91" s="2" t="n">
        <v>46253</v>
      </c>
      <c r="E91" s="2" t="n">
        <v>46166</v>
      </c>
      <c r="F91" s="1" t="s">
        <v>120</v>
      </c>
      <c r="G91" s="1" t="s">
        <v>146</v>
      </c>
      <c r="H91" s="1" t="s">
        <v>36</v>
      </c>
    </row>
    <row r="92" customFormat="false" ht="12.8" hidden="true" customHeight="true" outlineLevel="0" collapsed="false">
      <c r="A92" s="1" t="s">
        <v>94</v>
      </c>
      <c r="B92" s="1" t="s">
        <v>95</v>
      </c>
      <c r="C92" s="2" t="n">
        <v>46251</v>
      </c>
      <c r="D92" s="2" t="n">
        <f aca="false">C92+9</f>
        <v>46260</v>
      </c>
      <c r="E92" s="2" t="n">
        <v>46166</v>
      </c>
      <c r="F92" s="1" t="s">
        <v>117</v>
      </c>
      <c r="G92" s="1" t="s">
        <v>118</v>
      </c>
      <c r="H92" s="1" t="s">
        <v>36</v>
      </c>
    </row>
    <row r="93" customFormat="false" ht="12.8" hidden="true" customHeight="true" outlineLevel="0" collapsed="false">
      <c r="A93" s="1" t="s">
        <v>55</v>
      </c>
      <c r="B93" s="1" t="s">
        <v>56</v>
      </c>
      <c r="C93" s="2" t="n">
        <v>46129</v>
      </c>
      <c r="D93" s="2" t="n">
        <v>46138</v>
      </c>
      <c r="E93" s="2" t="n">
        <v>46089</v>
      </c>
      <c r="F93" s="1" t="s">
        <v>147</v>
      </c>
      <c r="G93" s="1" t="s">
        <v>131</v>
      </c>
      <c r="H93" s="1" t="s">
        <v>19</v>
      </c>
      <c r="J93" s="2"/>
    </row>
    <row r="94" customFormat="false" ht="12.8" hidden="true" customHeight="true" outlineLevel="0" collapsed="false">
      <c r="A94" s="1" t="s">
        <v>55</v>
      </c>
      <c r="B94" s="1" t="s">
        <v>56</v>
      </c>
      <c r="C94" s="2" t="n">
        <v>46129</v>
      </c>
      <c r="D94" s="2" t="n">
        <v>46138</v>
      </c>
      <c r="E94" s="2" t="n">
        <v>46089</v>
      </c>
      <c r="F94" s="1" t="s">
        <v>147</v>
      </c>
      <c r="G94" s="1" t="s">
        <v>148</v>
      </c>
      <c r="H94" s="1" t="s">
        <v>19</v>
      </c>
      <c r="J94" s="2"/>
    </row>
    <row r="95" customFormat="false" ht="12.8" hidden="true" customHeight="true" outlineLevel="0" collapsed="false">
      <c r="A95" s="1" t="s">
        <v>55</v>
      </c>
      <c r="B95" s="1" t="s">
        <v>56</v>
      </c>
      <c r="C95" s="2" t="n">
        <v>46202</v>
      </c>
      <c r="D95" s="2" t="n">
        <v>46208</v>
      </c>
      <c r="E95" s="2" t="n">
        <v>46152</v>
      </c>
      <c r="F95" s="1" t="s">
        <v>149</v>
      </c>
      <c r="G95" s="1" t="s">
        <v>13</v>
      </c>
      <c r="H95" s="1" t="s">
        <v>19</v>
      </c>
      <c r="J95" s="2"/>
    </row>
    <row r="96" customFormat="false" ht="12.8" hidden="true" customHeight="true" outlineLevel="0" collapsed="false">
      <c r="A96" s="1" t="s">
        <v>55</v>
      </c>
      <c r="B96" s="1" t="s">
        <v>56</v>
      </c>
      <c r="C96" s="2" t="n">
        <v>46251</v>
      </c>
      <c r="D96" s="2" t="n">
        <v>46260</v>
      </c>
      <c r="E96" s="2" t="n">
        <v>46180</v>
      </c>
      <c r="F96" s="1" t="s">
        <v>150</v>
      </c>
      <c r="G96" s="1" t="s">
        <v>151</v>
      </c>
      <c r="H96" s="1" t="s">
        <v>19</v>
      </c>
      <c r="J96" s="2"/>
    </row>
    <row r="97" customFormat="false" ht="12.8" hidden="true" customHeight="true" outlineLevel="0" collapsed="false">
      <c r="A97" s="1" t="s">
        <v>55</v>
      </c>
      <c r="B97" s="1" t="s">
        <v>56</v>
      </c>
      <c r="C97" s="2" t="n">
        <v>46339</v>
      </c>
      <c r="D97" s="2" t="n">
        <v>46348</v>
      </c>
      <c r="E97" s="2" t="n">
        <v>46310</v>
      </c>
      <c r="F97" s="1" t="s">
        <v>152</v>
      </c>
      <c r="G97" s="1" t="s">
        <v>153</v>
      </c>
      <c r="H97" s="1" t="s">
        <v>19</v>
      </c>
      <c r="J97" s="2"/>
    </row>
    <row r="98" customFormat="false" ht="12.8" hidden="true" customHeight="true" outlineLevel="0" collapsed="false">
      <c r="A98" s="1" t="s">
        <v>24</v>
      </c>
      <c r="B98" s="1" t="s">
        <v>25</v>
      </c>
      <c r="C98" s="2" t="n">
        <v>46325</v>
      </c>
      <c r="D98" s="2" t="n">
        <v>46334</v>
      </c>
      <c r="E98" s="2" t="n">
        <v>46278</v>
      </c>
      <c r="F98" s="1" t="s">
        <v>147</v>
      </c>
      <c r="G98" s="1" t="s">
        <v>148</v>
      </c>
      <c r="H98" s="1" t="s">
        <v>19</v>
      </c>
      <c r="J98" s="2"/>
    </row>
    <row r="99" customFormat="false" ht="12.8" hidden="true" customHeight="true" outlineLevel="0" collapsed="false">
      <c r="A99" s="1" t="s">
        <v>61</v>
      </c>
      <c r="B99" s="1" t="s">
        <v>62</v>
      </c>
      <c r="C99" s="2" t="n">
        <v>46202</v>
      </c>
      <c r="D99" s="2" t="n">
        <v>46208</v>
      </c>
      <c r="E99" s="2" t="n">
        <v>46152</v>
      </c>
      <c r="F99" s="1" t="s">
        <v>149</v>
      </c>
      <c r="G99" s="1" t="s">
        <v>13</v>
      </c>
      <c r="H99" s="1" t="s">
        <v>19</v>
      </c>
      <c r="J99" s="2"/>
    </row>
    <row r="100" customFormat="false" ht="12.8" hidden="true" customHeight="true" outlineLevel="0" collapsed="false">
      <c r="A100" s="1" t="s">
        <v>61</v>
      </c>
      <c r="B100" s="1" t="s">
        <v>62</v>
      </c>
      <c r="C100" s="2" t="n">
        <v>46325</v>
      </c>
      <c r="D100" s="2" t="n">
        <v>46334</v>
      </c>
      <c r="E100" s="2" t="n">
        <v>46278</v>
      </c>
      <c r="F100" s="1" t="s">
        <v>147</v>
      </c>
      <c r="G100" s="1" t="s">
        <v>148</v>
      </c>
      <c r="H100" s="1" t="s">
        <v>19</v>
      </c>
      <c r="J100" s="2"/>
    </row>
    <row r="101" customFormat="false" ht="12.8" hidden="true" customHeight="true" outlineLevel="0" collapsed="false">
      <c r="A101" s="1" t="s">
        <v>61</v>
      </c>
      <c r="B101" s="1" t="s">
        <v>62</v>
      </c>
      <c r="C101" s="2" t="n">
        <v>46349</v>
      </c>
      <c r="D101" s="2" t="n">
        <v>46358</v>
      </c>
      <c r="E101" s="2" t="n">
        <v>46307</v>
      </c>
      <c r="F101" s="1" t="s">
        <v>154</v>
      </c>
      <c r="G101" s="1" t="s">
        <v>155</v>
      </c>
      <c r="H101" s="1" t="s">
        <v>19</v>
      </c>
      <c r="J101" s="2"/>
    </row>
    <row r="102" customFormat="false" ht="12.8" hidden="true" customHeight="true" outlineLevel="0" collapsed="false">
      <c r="A102" s="1" t="s">
        <v>32</v>
      </c>
      <c r="B102" s="1" t="s">
        <v>33</v>
      </c>
      <c r="C102" s="2" t="n">
        <v>46349</v>
      </c>
      <c r="D102" s="2" t="n">
        <v>46358</v>
      </c>
      <c r="E102" s="2" t="n">
        <v>46307</v>
      </c>
      <c r="F102" s="1" t="s">
        <v>154</v>
      </c>
      <c r="G102" s="1" t="s">
        <v>155</v>
      </c>
      <c r="H102" s="1" t="s">
        <v>19</v>
      </c>
      <c r="J102" s="2"/>
    </row>
    <row r="103" customFormat="false" ht="12.8" hidden="true" customHeight="true" outlineLevel="0" collapsed="false">
      <c r="A103" s="1" t="s">
        <v>26</v>
      </c>
      <c r="B103" s="1" t="s">
        <v>27</v>
      </c>
      <c r="C103" s="2" t="n">
        <v>46349</v>
      </c>
      <c r="D103" s="2" t="n">
        <v>46358</v>
      </c>
      <c r="E103" s="2" t="n">
        <v>46307</v>
      </c>
      <c r="F103" s="1" t="s">
        <v>154</v>
      </c>
      <c r="G103" s="1" t="s">
        <v>155</v>
      </c>
      <c r="H103" s="1" t="s">
        <v>19</v>
      </c>
      <c r="J103" s="2"/>
    </row>
    <row r="104" customFormat="false" ht="12.8" hidden="true" customHeight="true" outlineLevel="0" collapsed="false">
      <c r="A104" s="1" t="s">
        <v>88</v>
      </c>
      <c r="B104" s="1" t="s">
        <v>156</v>
      </c>
      <c r="C104" s="2" t="n">
        <v>46293</v>
      </c>
      <c r="D104" s="2" t="n">
        <v>46297</v>
      </c>
      <c r="E104" s="2" t="n">
        <v>46180</v>
      </c>
      <c r="F104" s="1" t="s">
        <v>150</v>
      </c>
      <c r="G104" s="1" t="s">
        <v>157</v>
      </c>
      <c r="H104" s="1" t="s">
        <v>14</v>
      </c>
      <c r="J104" s="2"/>
    </row>
    <row r="105" customFormat="false" ht="12.8" hidden="true" customHeight="true" outlineLevel="0" collapsed="false">
      <c r="A105" s="1" t="s">
        <v>86</v>
      </c>
      <c r="B105" s="1" t="s">
        <v>158</v>
      </c>
      <c r="C105" s="2" t="n">
        <v>46293</v>
      </c>
      <c r="D105" s="2" t="n">
        <v>46297</v>
      </c>
      <c r="E105" s="2" t="n">
        <v>46180</v>
      </c>
      <c r="F105" s="1" t="s">
        <v>150</v>
      </c>
      <c r="G105" s="1" t="s">
        <v>157</v>
      </c>
      <c r="H105" s="1" t="s">
        <v>14</v>
      </c>
      <c r="J105" s="2"/>
    </row>
    <row r="106" customFormat="false" ht="12.8" hidden="true" customHeight="true" outlineLevel="0" collapsed="false">
      <c r="A106" s="1" t="s">
        <v>132</v>
      </c>
      <c r="B106" s="1" t="s">
        <v>159</v>
      </c>
      <c r="C106" s="2" t="n">
        <v>46135</v>
      </c>
      <c r="D106" s="2" t="n">
        <v>46138</v>
      </c>
      <c r="E106" s="2" t="n">
        <v>46113</v>
      </c>
      <c r="F106" s="1" t="s">
        <v>152</v>
      </c>
      <c r="G106" s="1" t="s">
        <v>153</v>
      </c>
      <c r="H106" s="1" t="s">
        <v>14</v>
      </c>
      <c r="J106" s="2"/>
    </row>
    <row r="107" customFormat="false" ht="12.8" hidden="true" customHeight="true" outlineLevel="0" collapsed="false">
      <c r="A107" s="1" t="s">
        <v>132</v>
      </c>
      <c r="B107" s="1" t="s">
        <v>159</v>
      </c>
      <c r="C107" s="2" t="n">
        <v>46135</v>
      </c>
      <c r="D107" s="2" t="n">
        <v>46138</v>
      </c>
      <c r="E107" s="2" t="n">
        <v>46113</v>
      </c>
      <c r="F107" s="1" t="s">
        <v>152</v>
      </c>
      <c r="G107" s="1" t="s">
        <v>153</v>
      </c>
      <c r="H107" s="1" t="s">
        <v>14</v>
      </c>
      <c r="J107" s="2"/>
    </row>
    <row r="108" customFormat="false" ht="12.8" hidden="true" customHeight="true" outlineLevel="0" collapsed="false">
      <c r="A108" s="1" t="s">
        <v>132</v>
      </c>
      <c r="B108" s="1" t="s">
        <v>159</v>
      </c>
      <c r="C108" s="2" t="n">
        <v>46247</v>
      </c>
      <c r="D108" s="2" t="n">
        <v>46250</v>
      </c>
      <c r="E108" s="2" t="n">
        <v>46180</v>
      </c>
      <c r="F108" s="1" t="s">
        <v>150</v>
      </c>
      <c r="G108" s="1" t="s">
        <v>151</v>
      </c>
      <c r="H108" s="1" t="s">
        <v>14</v>
      </c>
      <c r="J108" s="2"/>
    </row>
    <row r="109" customFormat="false" ht="12.8" hidden="true" customHeight="true" outlineLevel="0" collapsed="false">
      <c r="A109" s="1" t="s">
        <v>132</v>
      </c>
      <c r="B109" s="1" t="s">
        <v>159</v>
      </c>
      <c r="C109" s="2" t="n">
        <v>46268</v>
      </c>
      <c r="D109" s="2" t="n">
        <v>46271</v>
      </c>
      <c r="E109" s="2" t="n">
        <v>46236</v>
      </c>
      <c r="F109" s="1" t="s">
        <v>147</v>
      </c>
      <c r="G109" s="1" t="s">
        <v>148</v>
      </c>
      <c r="H109" s="1" t="s">
        <v>14</v>
      </c>
      <c r="J109" s="2"/>
    </row>
    <row r="110" customFormat="false" ht="12.8" hidden="true" customHeight="true" outlineLevel="0" collapsed="false">
      <c r="A110" s="1" t="s">
        <v>132</v>
      </c>
      <c r="B110" s="1" t="s">
        <v>159</v>
      </c>
      <c r="C110" s="2" t="n">
        <v>46338</v>
      </c>
      <c r="D110" s="2" t="n">
        <v>46341</v>
      </c>
      <c r="E110" s="2" t="n">
        <v>46299</v>
      </c>
      <c r="F110" s="1" t="s">
        <v>147</v>
      </c>
      <c r="G110" s="1" t="s">
        <v>148</v>
      </c>
      <c r="H110" s="1" t="s">
        <v>14</v>
      </c>
      <c r="J110" s="2"/>
    </row>
    <row r="111" customFormat="false" ht="12.8" hidden="true" customHeight="true" outlineLevel="0" collapsed="false">
      <c r="A111" s="1" t="s">
        <v>68</v>
      </c>
      <c r="B111" s="1" t="s">
        <v>91</v>
      </c>
      <c r="C111" s="2" t="n">
        <v>46169</v>
      </c>
      <c r="D111" s="2" t="n">
        <v>46173</v>
      </c>
      <c r="E111" s="2" t="n">
        <v>46131</v>
      </c>
      <c r="F111" s="1" t="s">
        <v>147</v>
      </c>
      <c r="G111" s="1" t="s">
        <v>148</v>
      </c>
      <c r="H111" s="1" t="s">
        <v>14</v>
      </c>
      <c r="J111" s="2"/>
    </row>
    <row r="112" customFormat="false" ht="12.8" hidden="true" customHeight="false" outlineLevel="0" collapsed="false">
      <c r="A112" s="1" t="s">
        <v>68</v>
      </c>
      <c r="B112" s="1" t="s">
        <v>91</v>
      </c>
      <c r="C112" s="2" t="n">
        <v>46309</v>
      </c>
      <c r="D112" s="2" t="n">
        <v>46313</v>
      </c>
      <c r="E112" s="2" t="n">
        <v>46271</v>
      </c>
      <c r="F112" s="1" t="s">
        <v>147</v>
      </c>
      <c r="G112" s="1" t="s">
        <v>148</v>
      </c>
      <c r="H112" s="1" t="s">
        <v>14</v>
      </c>
      <c r="J112" s="2"/>
    </row>
    <row r="113" customFormat="false" ht="12.8" hidden="true" customHeight="false" outlineLevel="0" collapsed="false">
      <c r="A113" s="1" t="s">
        <v>113</v>
      </c>
      <c r="B113" s="1" t="s">
        <v>160</v>
      </c>
      <c r="C113" s="2" t="n">
        <v>46042</v>
      </c>
      <c r="D113" s="2" t="n">
        <v>46043</v>
      </c>
      <c r="E113" s="2" t="n">
        <v>45976</v>
      </c>
      <c r="F113" s="1" t="s">
        <v>150</v>
      </c>
      <c r="G113" s="1" t="s">
        <v>13</v>
      </c>
      <c r="H113" s="1" t="s">
        <v>36</v>
      </c>
      <c r="J113" s="2"/>
    </row>
    <row r="114" customFormat="false" ht="12.8" hidden="true" customHeight="false" outlineLevel="0" collapsed="false">
      <c r="A114" s="1" t="s">
        <v>134</v>
      </c>
      <c r="B114" s="1" t="s">
        <v>135</v>
      </c>
      <c r="C114" s="2" t="n">
        <v>46069</v>
      </c>
      <c r="D114" s="2" t="n">
        <v>46072</v>
      </c>
      <c r="E114" s="2" t="n">
        <v>46040</v>
      </c>
      <c r="F114" s="1" t="s">
        <v>150</v>
      </c>
      <c r="G114" s="1" t="s">
        <v>151</v>
      </c>
      <c r="H114" s="1" t="s">
        <v>36</v>
      </c>
      <c r="J114" s="2"/>
    </row>
    <row r="115" customFormat="false" ht="12.8" hidden="true" customHeight="false" outlineLevel="0" collapsed="false">
      <c r="A115" s="1" t="s">
        <v>142</v>
      </c>
      <c r="B115" s="1" t="s">
        <v>143</v>
      </c>
      <c r="C115" s="2" t="n">
        <v>46069</v>
      </c>
      <c r="D115" s="2" t="n">
        <v>46072</v>
      </c>
      <c r="E115" s="2" t="n">
        <v>46040</v>
      </c>
      <c r="F115" s="1" t="s">
        <v>150</v>
      </c>
      <c r="G115" s="1" t="s">
        <v>151</v>
      </c>
      <c r="H115" s="1" t="s">
        <v>36</v>
      </c>
      <c r="J115" s="2"/>
    </row>
    <row r="116" customFormat="false" ht="12.8" hidden="true" customHeight="false" outlineLevel="0" collapsed="false">
      <c r="A116" s="1" t="s">
        <v>94</v>
      </c>
      <c r="B116" s="1" t="s">
        <v>95</v>
      </c>
      <c r="C116" s="2" t="n">
        <v>46076</v>
      </c>
      <c r="D116" s="2" t="n">
        <v>46082</v>
      </c>
      <c r="E116" s="2" t="n">
        <v>46041</v>
      </c>
      <c r="F116" s="1" t="s">
        <v>154</v>
      </c>
      <c r="G116" s="1" t="s">
        <v>155</v>
      </c>
      <c r="H116" s="1" t="s">
        <v>36</v>
      </c>
      <c r="J116" s="2"/>
    </row>
    <row r="117" customFormat="false" ht="12.8" hidden="true" customHeight="false" outlineLevel="0" collapsed="false">
      <c r="A117" s="1" t="s">
        <v>94</v>
      </c>
      <c r="B117" s="1" t="s">
        <v>95</v>
      </c>
      <c r="C117" s="2" t="n">
        <v>46251</v>
      </c>
      <c r="D117" s="2" t="n">
        <v>46260</v>
      </c>
      <c r="E117" s="2" t="n">
        <v>46180</v>
      </c>
      <c r="F117" s="1" t="s">
        <v>150</v>
      </c>
      <c r="G117" s="1" t="s">
        <v>151</v>
      </c>
      <c r="H117" s="1" t="s">
        <v>36</v>
      </c>
      <c r="J117" s="2"/>
    </row>
    <row r="118" customFormat="false" ht="12.8" hidden="true" customHeight="false" outlineLevel="0" collapsed="false">
      <c r="A118" s="1" t="s">
        <v>94</v>
      </c>
      <c r="B118" s="1" t="s">
        <v>95</v>
      </c>
      <c r="C118" s="2" t="s">
        <v>161</v>
      </c>
      <c r="D118" s="2" t="s">
        <v>162</v>
      </c>
      <c r="E118" s="2" t="n">
        <v>46054</v>
      </c>
      <c r="F118" s="1" t="s">
        <v>147</v>
      </c>
      <c r="G118" s="1" t="s">
        <v>148</v>
      </c>
      <c r="H118" s="1" t="s">
        <v>36</v>
      </c>
      <c r="J118" s="2"/>
    </row>
    <row r="119" customFormat="false" ht="12.8" hidden="true" customHeight="false" outlineLevel="0" collapsed="false">
      <c r="A119" s="1" t="s">
        <v>163</v>
      </c>
      <c r="B119" s="1" t="s">
        <v>164</v>
      </c>
      <c r="C119" s="2" t="s">
        <v>165</v>
      </c>
      <c r="D119" s="2" t="s">
        <v>166</v>
      </c>
      <c r="E119" s="2" t="n">
        <v>46257</v>
      </c>
      <c r="F119" s="1" t="s">
        <v>149</v>
      </c>
      <c r="G119" s="1" t="s">
        <v>13</v>
      </c>
      <c r="H119" s="1" t="s">
        <v>36</v>
      </c>
      <c r="J119" s="2"/>
    </row>
    <row r="120" customFormat="false" ht="12.8" hidden="true" customHeight="false" outlineLevel="0" collapsed="false">
      <c r="A120" s="1" t="s">
        <v>163</v>
      </c>
      <c r="B120" s="1" t="s">
        <v>164</v>
      </c>
      <c r="C120" s="2" t="n">
        <v>46328</v>
      </c>
      <c r="D120" s="2" t="n">
        <v>46337</v>
      </c>
      <c r="E120" s="2" t="n">
        <v>46271</v>
      </c>
      <c r="F120" s="1" t="s">
        <v>150</v>
      </c>
      <c r="G120" s="1" t="s">
        <v>151</v>
      </c>
      <c r="H120" s="1" t="s">
        <v>36</v>
      </c>
      <c r="J120" s="2"/>
    </row>
    <row r="121" customFormat="false" ht="12.8" hidden="true" customHeight="false" outlineLevel="0" collapsed="false">
      <c r="A121" s="1" t="s">
        <v>163</v>
      </c>
      <c r="B121" s="1" t="s">
        <v>164</v>
      </c>
      <c r="C121" s="2" t="n">
        <v>46339</v>
      </c>
      <c r="D121" s="2" t="n">
        <v>46348</v>
      </c>
      <c r="E121" s="2" t="n">
        <v>46310</v>
      </c>
      <c r="F121" s="1" t="s">
        <v>152</v>
      </c>
      <c r="G121" s="1" t="s">
        <v>153</v>
      </c>
      <c r="H121" s="1" t="s">
        <v>36</v>
      </c>
      <c r="J121" s="2"/>
    </row>
    <row r="122" customFormat="false" ht="12.8" hidden="true" customHeight="true" outlineLevel="0" collapsed="false">
      <c r="A122" s="1" t="s">
        <v>92</v>
      </c>
      <c r="B122" s="1" t="s">
        <v>167</v>
      </c>
      <c r="C122" s="2" t="n">
        <v>46129</v>
      </c>
      <c r="D122" s="2" t="n">
        <v>46138</v>
      </c>
      <c r="E122" s="2" t="n">
        <v>46113</v>
      </c>
      <c r="F122" s="1" t="s">
        <v>152</v>
      </c>
      <c r="G122" s="1" t="s">
        <v>153</v>
      </c>
      <c r="H122" s="1" t="s">
        <v>36</v>
      </c>
      <c r="J122" s="2"/>
    </row>
    <row r="123" customFormat="false" ht="12.8" hidden="true" customHeight="true" outlineLevel="0" collapsed="false">
      <c r="A123" s="1" t="s">
        <v>92</v>
      </c>
      <c r="B123" s="1" t="s">
        <v>167</v>
      </c>
      <c r="C123" s="2" t="n">
        <v>46339</v>
      </c>
      <c r="D123" s="2" t="n">
        <v>46348</v>
      </c>
      <c r="E123" s="2" t="n">
        <v>46310</v>
      </c>
      <c r="F123" s="1" t="s">
        <v>152</v>
      </c>
      <c r="G123" s="1" t="s">
        <v>153</v>
      </c>
      <c r="H123" s="1" t="s">
        <v>36</v>
      </c>
      <c r="J123" s="2"/>
    </row>
    <row r="124" customFormat="false" ht="12.8" hidden="true" customHeight="true" outlineLevel="0" collapsed="false">
      <c r="A124" s="1" t="s">
        <v>92</v>
      </c>
      <c r="B124" s="1" t="s">
        <v>167</v>
      </c>
      <c r="C124" s="2" t="n">
        <v>46137</v>
      </c>
      <c r="D124" s="2" t="n">
        <v>46138</v>
      </c>
      <c r="E124" s="2" t="n">
        <v>46103</v>
      </c>
      <c r="F124" s="1" t="s">
        <v>149</v>
      </c>
      <c r="G124" s="1" t="s">
        <v>13</v>
      </c>
      <c r="H124" s="1" t="s">
        <v>36</v>
      </c>
      <c r="J124" s="2" t="s">
        <v>168</v>
      </c>
    </row>
    <row r="125" customFormat="false" ht="12.8" hidden="false" customHeight="true" outlineLevel="0" collapsed="false">
      <c r="A125" s="1" t="s">
        <v>82</v>
      </c>
      <c r="B125" s="1" t="s">
        <v>169</v>
      </c>
      <c r="C125" s="2" t="n">
        <v>46314</v>
      </c>
      <c r="D125" s="2" t="n">
        <v>46318</v>
      </c>
      <c r="E125" s="2" t="n">
        <v>46285</v>
      </c>
      <c r="F125" s="1" t="s">
        <v>149</v>
      </c>
      <c r="G125" s="1" t="s">
        <v>13</v>
      </c>
      <c r="H125" s="1" t="s">
        <v>36</v>
      </c>
      <c r="J125" s="2"/>
    </row>
    <row r="126" customFormat="false" ht="12.8" hidden="true" customHeight="true" outlineLevel="0" collapsed="false">
      <c r="A126" s="1" t="s">
        <v>170</v>
      </c>
      <c r="B126" s="1" t="s">
        <v>171</v>
      </c>
      <c r="C126" s="2" t="n">
        <v>46342</v>
      </c>
      <c r="D126" s="2" t="n">
        <v>46348</v>
      </c>
      <c r="E126" s="2" t="n">
        <v>46306</v>
      </c>
      <c r="F126" s="1" t="s">
        <v>147</v>
      </c>
      <c r="G126" s="1" t="s">
        <v>148</v>
      </c>
      <c r="H126" s="1" t="s">
        <v>14</v>
      </c>
      <c r="J126" s="2"/>
    </row>
  </sheetData>
  <autoFilter ref="A1:J126">
    <filterColumn colId="0">
      <filters>
        <filter val="UND525SFS47"/>
        <filter val="UNDGK311SF11"/>
      </filters>
    </filterColumn>
  </autoFilter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117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2026-01-03T09:50:59Z</dcterms:created>
  <dc:creator/>
  <dc:description/>
  <dc:language>en-US</dc:language>
  <cp:lastModifiedBy/>
  <dcterms:modified xsi:type="dcterms:W3CDTF">2026-01-04T22:16:45Z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